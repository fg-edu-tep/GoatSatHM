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gute\Documents\goat_wp\files\"/>
    </mc:Choice>
  </mc:AlternateContent>
  <xr:revisionPtr revIDLastSave="0" documentId="8_{1D43316E-3A5B-4DDA-8CAA-CBA03A4DB8B1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Assumptions" sheetId="1" r:id="rId1"/>
    <sheet name="FCF Mode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2" l="1"/>
  <c r="D29" i="2"/>
  <c r="E29" i="2"/>
  <c r="F29" i="2"/>
  <c r="G29" i="2"/>
  <c r="H29" i="2"/>
  <c r="I29" i="2"/>
  <c r="J29" i="2"/>
  <c r="K29" i="2"/>
  <c r="L29" i="2"/>
  <c r="C29" i="2"/>
  <c r="E37" i="2"/>
  <c r="L25" i="2"/>
  <c r="K25" i="2"/>
  <c r="J25" i="2"/>
  <c r="I25" i="2"/>
  <c r="H25" i="2"/>
  <c r="G25" i="2"/>
  <c r="F25" i="2"/>
  <c r="E25" i="2"/>
  <c r="D25" i="2"/>
  <c r="C25" i="2"/>
  <c r="C24" i="2"/>
  <c r="L19" i="2"/>
  <c r="L24" i="2" s="1"/>
  <c r="K19" i="2"/>
  <c r="K24" i="2" s="1"/>
  <c r="J19" i="2"/>
  <c r="J24" i="2" s="1"/>
  <c r="I19" i="2"/>
  <c r="I24" i="2" s="1"/>
  <c r="H19" i="2"/>
  <c r="H24" i="2" s="1"/>
  <c r="G19" i="2"/>
  <c r="G24" i="2" s="1"/>
  <c r="F19" i="2"/>
  <c r="F24" i="2" s="1"/>
  <c r="E19" i="2"/>
  <c r="D19" i="2"/>
  <c r="D24" i="2" s="1"/>
  <c r="C19" i="2"/>
  <c r="M18" i="2"/>
  <c r="C15" i="2"/>
  <c r="D15" i="2" s="1"/>
  <c r="L14" i="2"/>
  <c r="K14" i="2"/>
  <c r="J14" i="2"/>
  <c r="I14" i="2"/>
  <c r="H14" i="2"/>
  <c r="G14" i="2"/>
  <c r="F14" i="2"/>
  <c r="E14" i="2"/>
  <c r="D14" i="2"/>
  <c r="C14" i="2"/>
  <c r="M13" i="2"/>
  <c r="C13" i="2"/>
  <c r="D13" i="2" s="1"/>
  <c r="L10" i="2"/>
  <c r="K10" i="2"/>
  <c r="J10" i="2"/>
  <c r="I10" i="2"/>
  <c r="H10" i="2"/>
  <c r="G10" i="2"/>
  <c r="F10" i="2"/>
  <c r="E10" i="2"/>
  <c r="D10" i="2"/>
  <c r="C10" i="2"/>
  <c r="L9" i="2"/>
  <c r="K9" i="2"/>
  <c r="J9" i="2"/>
  <c r="I9" i="2"/>
  <c r="H9" i="2"/>
  <c r="G9" i="2"/>
  <c r="F9" i="2"/>
  <c r="E9" i="2"/>
  <c r="D9" i="2"/>
  <c r="C9" i="2"/>
  <c r="L8" i="2"/>
  <c r="K8" i="2"/>
  <c r="J8" i="2"/>
  <c r="I8" i="2"/>
  <c r="H8" i="2"/>
  <c r="G8" i="2"/>
  <c r="F8" i="2"/>
  <c r="E8" i="2"/>
  <c r="D8" i="2"/>
  <c r="C8" i="2"/>
  <c r="M7" i="2"/>
  <c r="L7" i="2"/>
  <c r="K7" i="2"/>
  <c r="J7" i="2"/>
  <c r="I7" i="2"/>
  <c r="H7" i="2"/>
  <c r="G7" i="2"/>
  <c r="F7" i="2"/>
  <c r="E7" i="2"/>
  <c r="D7" i="2"/>
  <c r="C7" i="2"/>
  <c r="K11" i="2" l="1"/>
  <c r="L11" i="2"/>
  <c r="L26" i="2" s="1"/>
  <c r="M10" i="2"/>
  <c r="M26" i="2"/>
  <c r="J11" i="2"/>
  <c r="K26" i="2" s="1"/>
  <c r="C11" i="2"/>
  <c r="C26" i="2" s="1"/>
  <c r="E11" i="2"/>
  <c r="H11" i="2"/>
  <c r="M8" i="2"/>
  <c r="I11" i="2"/>
  <c r="J26" i="2" s="1"/>
  <c r="M20" i="2"/>
  <c r="M11" i="2"/>
  <c r="G11" i="2"/>
  <c r="M9" i="2"/>
  <c r="D11" i="2"/>
  <c r="D26" i="2" s="1"/>
  <c r="M15" i="2"/>
  <c r="E15" i="2"/>
  <c r="F15" i="2" s="1"/>
  <c r="G15" i="2" s="1"/>
  <c r="H15" i="2" s="1"/>
  <c r="I15" i="2" s="1"/>
  <c r="J15" i="2" s="1"/>
  <c r="K15" i="2" s="1"/>
  <c r="L15" i="2" s="1"/>
  <c r="E13" i="2"/>
  <c r="D16" i="2"/>
  <c r="E24" i="2"/>
  <c r="M25" i="2" s="1"/>
  <c r="C16" i="2"/>
  <c r="F11" i="2"/>
  <c r="C18" i="2" l="1"/>
  <c r="C20" i="2" s="1"/>
  <c r="E26" i="2"/>
  <c r="H26" i="2"/>
  <c r="I26" i="2"/>
  <c r="D18" i="2"/>
  <c r="D20" i="2" s="1"/>
  <c r="C21" i="2"/>
  <c r="D21" i="2"/>
  <c r="D22" i="2" s="1"/>
  <c r="D27" i="2" s="1"/>
  <c r="E16" i="2"/>
  <c r="E18" i="2" s="1"/>
  <c r="E20" i="2" s="1"/>
  <c r="F13" i="2"/>
  <c r="M16" i="2"/>
  <c r="F26" i="2"/>
  <c r="G26" i="2"/>
  <c r="M27" i="2" s="1"/>
  <c r="D30" i="2" l="1"/>
  <c r="F16" i="2"/>
  <c r="F18" i="2" s="1"/>
  <c r="F20" i="2" s="1"/>
  <c r="G13" i="2"/>
  <c r="E21" i="2"/>
  <c r="E22" i="2" s="1"/>
  <c r="E27" i="2" s="1"/>
  <c r="E30" i="2" s="1"/>
  <c r="C22" i="2"/>
  <c r="C27" i="2" s="1"/>
  <c r="C30" i="2" l="1"/>
  <c r="C28" i="2"/>
  <c r="G16" i="2"/>
  <c r="G18" i="2" s="1"/>
  <c r="G20" i="2" s="1"/>
  <c r="H13" i="2"/>
  <c r="F21" i="2"/>
  <c r="F22" i="2" l="1"/>
  <c r="F27" i="2" s="1"/>
  <c r="F30" i="2" s="1"/>
  <c r="H16" i="2"/>
  <c r="H18" i="2" s="1"/>
  <c r="H20" i="2" s="1"/>
  <c r="I13" i="2"/>
  <c r="G21" i="2"/>
  <c r="G22" i="2" s="1"/>
  <c r="G27" i="2" s="1"/>
  <c r="G30" i="2" s="1"/>
  <c r="D28" i="2"/>
  <c r="E28" i="2" s="1"/>
  <c r="H21" i="2" l="1"/>
  <c r="H22" i="2" s="1"/>
  <c r="H27" i="2" s="1"/>
  <c r="H30" i="2" s="1"/>
  <c r="F28" i="2"/>
  <c r="I16" i="2"/>
  <c r="I18" i="2" s="1"/>
  <c r="I20" i="2" s="1"/>
  <c r="J13" i="2"/>
  <c r="J16" i="2" l="1"/>
  <c r="J18" i="2" s="1"/>
  <c r="J20" i="2" s="1"/>
  <c r="K13" i="2"/>
  <c r="I21" i="2"/>
  <c r="I22" i="2" s="1"/>
  <c r="I27" i="2" s="1"/>
  <c r="I30" i="2" s="1"/>
  <c r="G28" i="2"/>
  <c r="E38" i="2"/>
  <c r="H28" i="2" l="1"/>
  <c r="I28" i="2" s="1"/>
  <c r="K16" i="2"/>
  <c r="K18" i="2" s="1"/>
  <c r="K20" i="2" s="1"/>
  <c r="L13" i="2"/>
  <c r="J21" i="2"/>
  <c r="J22" i="2" s="1"/>
  <c r="J27" i="2" s="1"/>
  <c r="J30" i="2" s="1"/>
  <c r="L16" i="2" l="1"/>
  <c r="L18" i="2" s="1"/>
  <c r="M14" i="2"/>
  <c r="J28" i="2"/>
  <c r="K21" i="2"/>
  <c r="K22" i="2" s="1"/>
  <c r="K27" i="2" s="1"/>
  <c r="K30" i="2" s="1"/>
  <c r="K28" i="2" l="1"/>
  <c r="L20" i="2"/>
  <c r="L21" i="2" l="1"/>
  <c r="M22" i="2" s="1"/>
  <c r="M21" i="2"/>
  <c r="L22" i="2" l="1"/>
  <c r="L27" i="2" s="1"/>
  <c r="M46" i="2" l="1"/>
  <c r="M47" i="2" s="1"/>
  <c r="M50" i="2" s="1"/>
  <c r="E33" i="2" s="1"/>
  <c r="L28" i="2"/>
  <c r="L30" i="2" l="1"/>
  <c r="E35" i="2" l="1"/>
  <c r="E34" i="2"/>
  <c r="E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tc={CACAE1D1-13EC-4248-BF76-C96FEFDAA0F9}</author>
    <author>tc={D3B91B1B-AD3B-4911-A94A-C170798D2E0B}</author>
  </authors>
  <commentList>
    <comment ref="E7" authorId="0" shapeId="0" xr:uid="{CACAE1D1-13EC-4248-BF76-C96FEFDAA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sería de ‘Early adopters’ que estarían dispuestos a trabajar con nosotros (aliados)</t>
      </text>
    </comment>
    <comment ref="B29" authorId="1" shapeId="0" xr:uid="{D3B91B1B-AD3B-4911-A94A-C170798D2E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se hizo para ver cúando se recupera la inversión
(Año 7 es PAYBACK, la suma da positiva)</t>
      </text>
    </comment>
  </commentList>
</comments>
</file>

<file path=xl/sharedStrings.xml><?xml version="1.0" encoding="utf-8"?>
<sst xmlns="http://schemas.openxmlformats.org/spreadsheetml/2006/main" count="255" uniqueCount="189">
  <si>
    <t>GOATSAT  ·  FINANCIAL MODEL ASSUMPTIONS  ·  EUROPEAN HUB SCENARIO  ·  CONSERVATIVE</t>
  </si>
  <si>
    <t>Parameter</t>
  </si>
  <si>
    <t>Conservative Value</t>
  </si>
  <si>
    <t>Type</t>
  </si>
  <si>
    <t>Notes, Sources &amp; Conservative Rationale</t>
  </si>
  <si>
    <t>A  ·  MACRO &amp; JURISDICTION PARAMETERS</t>
  </si>
  <si>
    <t>Discount Rate / Hurdle Rate</t>
  </si>
  <si>
    <t>[INPUT]</t>
  </si>
  <si>
    <t>Standard Corporate Income Tax Rate</t>
  </si>
  <si>
    <t>Blended European average: France 25.8%, Germany ~30.1%, Italy 24.0%. CONSERVATIVE: Using 25% blended. Verify per incorporation jurisdiction. Source: European Commission corporate tax surveys 2025.</t>
  </si>
  <si>
    <t>Preferential / R&amp;D Credit Rate (net effective)</t>
  </si>
  <si>
    <t>CONSERVATIVE: France CIR = 30% credit on R&amp;D spend (reduces effective rate). Modeled as 17.5% net effective (25% CIT minus partial R&amp;D credit). Set equal to standard rate above if no incentive applies in your jurisdiction.</t>
  </si>
  <si>
    <t>First Year Preferential Rate Applies (year #)</t>
  </si>
  <si>
    <t>CONSERVATIVE: Pushed to Year 5 only — Year 4 EBIT is near breakeven ($-200k per report) so tax applies only when clearly profitable. Default = 5.</t>
  </si>
  <si>
    <t>Annual Inflation / OPEX Escalator</t>
  </si>
  <si>
    <t>Reporting Currency Label</t>
  </si>
  <si>
    <t>USD</t>
  </si>
  <si>
    <t>All values in USD. Revenue contracts in USD is standard for space hardware. Update label only — convert European payroll inputs at prevailing EUR/USD rate.</t>
  </si>
  <si>
    <t>B  ·  REVENUE ASSUMPTIONS  (all biased conservatively)</t>
  </si>
  <si>
    <t>Annual Adopter Licensing Fee (per manufacturer)</t>
  </si>
  <si>
    <t>CONSERVATIVE: Maintained at $50k/yr despite aerospace premium justification. HDMI LA benchmark: high-vol $10k/yr, low-vol $5k/yr (hdmi.org/register). GoatSat aerospace rate 5× HDMI floor — reasonable but adopters may negotiate down; do not increase this figure without a signed LOI.</t>
  </si>
  <si>
    <t>Module Royalty Rate</t>
  </si>
  <si>
    <t>CONSERVATIVE: 4% (below report's 5% midpoint). Report range 3–7%. Prime contractors will push hard on royalty during early negotiations. At $500k avg module: $20k/module vs. $25k at 5%. Ref: Sisvel Wi-Fi 6 $1.20/unit; HEVC $0.20–$0.30 (via-la.com). Aerospace % model is correct — rate set at lower bound.</t>
  </si>
  <si>
    <t>Average Module Sale Price</t>
  </si>
  <si>
    <t>CONSERVATIVE: $450k vs. report's $500k. First-generation modules will be simpler (software-defined radios, sensor upgrades) commanding lower prices. Escalates toward $500k+ as ecosystem matures. Source: GomSpace, Endurosat catalog ranges.</t>
  </si>
  <si>
    <t>Certification Fee per New Adopter (one-time)</t>
  </si>
  <si>
    <t>CONSERVATIVE: $20k vs. $25k. AS9100 / DO-178C program analogues. Early adopters may receive discounted or waived certification to incentivize uptake.</t>
  </si>
  <si>
    <t>B1  ·  ADOPTER COUNT RAMP — CONSERVATIVE S-CURVE (slower than report)</t>
  </si>
  <si>
    <t xml:space="preserve">  Year 1 — Adopting Manufacturers</t>
  </si>
  <si>
    <t>Zero — standard in development, no licensing possible.</t>
  </si>
  <si>
    <t xml:space="preserve">  Year 2 — Adopting Manufacturers</t>
  </si>
  <si>
    <t>Zero — orbital demo phase, no commercial licensing.</t>
  </si>
  <si>
    <t xml:space="preserve">  Year 3 — Adopting Manufacturers</t>
  </si>
  <si>
    <t>CONSERVATIVE: 3 founding adopters vs. report's 5. Assumes one slippage and one deferred decision.</t>
  </si>
  <si>
    <t xml:space="preserve">  Year 4 — Adopting Manufacturers</t>
  </si>
  <si>
    <t>CONSERVATIVE: 7 vs. report's 10. Aerospace design cycles run 18–36 months; early adopters are designing next-gen bus, not retrofitting current one.</t>
  </si>
  <si>
    <t xml:space="preserve">  Year 5 — Adopting Manufacturers</t>
  </si>
  <si>
    <t>CONSERVATIVE: 14 vs. report's 20. S-curve inflection delayed by conservative sector risk aversion (ref: AS9100 rollout ~3–4yr cycle, CVG 2026).</t>
  </si>
  <si>
    <t xml:space="preserve">  Year 6 — Adopting Manufacturers</t>
  </si>
  <si>
    <t>[EXTRAP] S-curve mid-acceleration. Network effect beginning.</t>
  </si>
  <si>
    <t xml:space="preserve">  Year 7 — Adopting Manufacturers</t>
  </si>
  <si>
    <t>[EXTRAP] Standard becoming default for new microsatellite RFPs.</t>
  </si>
  <si>
    <t xml:space="preserve">  Year 8 — Adopting Manufacturers</t>
  </si>
  <si>
    <t>[EXTRAP] Near-dominant in 10–200kg class.</t>
  </si>
  <si>
    <t xml:space="preserve">  Year 9 — Adopting Manufacturers</t>
  </si>
  <si>
    <t>[EXTRAP] Approaching SAM saturation.</t>
  </si>
  <si>
    <t xml:space="preserve">  Year 10 — Adopting Manufacturers</t>
  </si>
  <si>
    <t>[EXTRAP] Full SAM penetration conservative ceiling — some manufacturers will maintain proprietary interfaces.</t>
  </si>
  <si>
    <t>B2  ·  MODULES SOLD PER YEAR — CONSERVATIVE RAMP</t>
  </si>
  <si>
    <t xml:space="preserve">  Year 1 — Modules Sold</t>
  </si>
  <si>
    <t>Zero — standard not yet published.</t>
  </si>
  <si>
    <t xml:space="preserve">  Year 2 — Modules Sold</t>
  </si>
  <si>
    <t>Zero — orbital demo only.</t>
  </si>
  <si>
    <t xml:space="preserve">  Year 3 — Modules Sold</t>
  </si>
  <si>
    <t>Zero — standard just launched. Pipeline forming but no sales.</t>
  </si>
  <si>
    <t xml:space="preserve">  Year 4 — Modules Sold</t>
  </si>
  <si>
    <t>CONSERVATIVE: 30 vs. report's 50. First modules are prototypes with limited commercial rollout; customers run qualification campaigns first.</t>
  </si>
  <si>
    <t xml:space="preserve">  Year 5 — Modules Sold</t>
  </si>
  <si>
    <t>CONSERVATIVE: 120 vs. report's 200. Ecosystem young; module vendors still building inventory and qualification flight heritage.</t>
  </si>
  <si>
    <t xml:space="preserve">  Year 6 — Modules Sold</t>
  </si>
  <si>
    <t>[EXTRAP] Growth accelerates as module catalog expands.</t>
  </si>
  <si>
    <t xml:space="preserve">  Year 7 — Modules Sold</t>
  </si>
  <si>
    <t>[EXTRAP] Network effect on module supply side.</t>
  </si>
  <si>
    <t xml:space="preserve">  Year 8 — Modules Sold</t>
  </si>
  <si>
    <t>[EXTRAP] Scale phase.</t>
  </si>
  <si>
    <t xml:space="preserve">  Year 9 — Modules Sold</t>
  </si>
  <si>
    <t>[EXTRAP] Near-mature market.</t>
  </si>
  <si>
    <t xml:space="preserve">  Year 10 — Modules Sold</t>
  </si>
  <si>
    <t>[EXTRAP] CONSERVATIVE ceiling: 1,550 vs. aggressive 2,000. Market constrained by satellite launch cadence and mission lifetimes.</t>
  </si>
  <si>
    <t>C  ·  OPEX &amp; CAPEX  —  EUROPEAN HUB  (high-cost, conservative)</t>
  </si>
  <si>
    <t>Year 1 Engineering Payroll Base (EU Hub)</t>
  </si>
  <si>
    <t>CONSERVATIVE: $900k (above report's $750k floor). European aerospace engineer avg €57,500–€70,000/yr Germany (SalaryExpert 2026), €50,000–€62,000 France. 10-person nucleus at avg $90k/head incl. employer social charges (France ~45%, Germany ~21% on top of gross). Social charges are a major hidden cost in European employment — model must include them. Source: salaryexpert.com 2026.</t>
  </si>
  <si>
    <t>Engineering Payroll Annual Growth Rate</t>
  </si>
  <si>
    <t>CONSERVATIVE: 18% (above report's implied ~20% but explicit here). Reflects headcount additions AND European wage inflation of 4% + merit increases. R&amp;D headcount grows from 10 to ~20 by Year 5 per report.</t>
  </si>
  <si>
    <t>Year 1 IP &amp; Legal Filings</t>
  </si>
  <si>
    <t>CONSERVATIVE: $200k vs. report's $150k. PCT international phase: $3,500–$5,500 (teakipservices.com). USPTO Jan-2025 utility: ~$2,000 (uspto.gov). EPO Apr-2026: search €1,595 + exam €2,010 + grant €1,135 (marks-clerk.com). Full patent family attorney fees: $15k–$50k per family (schellip.com). Year 1 assumed 3–4 patent families filed simultaneously = front-loaded cost.</t>
  </si>
  <si>
    <t>Year 1 SG&amp;A / Ecosystem Marketing</t>
  </si>
  <si>
    <t>CONSERVATIVE: $150k vs. report's $100k. European trade show costs (IAC, Space Tech Expo) are significant. Adopter recruitment in EU requires sustained relationship investment with conservative procurement cultures.</t>
  </si>
  <si>
    <t>SG&amp;A Annual Growth Rate</t>
  </si>
  <si>
    <t>CONSERVATIVE: 25%. Certification volume growth drives significant admin overhead. Includes certification lab staffing, adopter support, standard maintenance costs.</t>
  </si>
  <si>
    <t>Year 1 D&amp;A (start of patent portfolio amortization)</t>
  </si>
  <si>
    <t>Straight-line amortization of patent portfolio. IFRS IAS 38 / EU GAAP. Non-cash — added back in FCF bridge. Escalates as portfolio grows.</t>
  </si>
  <si>
    <t>D&amp;A Annual Step Increase (absolute, per year)</t>
  </si>
  <si>
    <t>Each year D&amp;A increases by this amount as new patents are filed and amortized. Conservative: matches report. Portfolio reaches ~$250k D&amp;A by Year 3.</t>
  </si>
  <si>
    <t>C1  ·  CAPEX BY YEAR  —  R&amp;D IS EXPENSIVE  (do not underestimate)</t>
  </si>
  <si>
    <t xml:space="preserve">  Year 1 — CapEx</t>
  </si>
  <si>
    <t>CONSERVATIVE: $250k vs. report's $100k. Year 1 EU R&amp;D CapEx includes SpaceFibre IP license from STAR-Dundee (star-dundee.com), CAD/simulation software licenses (HFSS, Ansys), initial lab setup, precision CNC prototyping outsourcing at $100–$150/hr (mekalite.com/fastpreci.com). Do NOT underbudget this.</t>
  </si>
  <si>
    <t xml:space="preserve">  Year 2 — CapEx</t>
  </si>
  <si>
    <t>CONSERVATIVE: $1.1M vs. report's $800k. SpaceX Transporter $350k base fee (newspaceeconomy.ca Feb-2026) + payload integration + separation rings + range insurance = ~$750k–$1M fully burdened (report acknowledges this). ESTEC TVAC: $250k (industry heuristic, technology.esa.int). Year 2 R&amp;D iteration on prototype. Total $1.1M is realistic floor.</t>
  </si>
  <si>
    <t xml:space="preserve">  Year 3 — CapEx</t>
  </si>
  <si>
    <t>CONSERVATIVE: $350k vs. report's $200k. Final integration hardware, ISO 7 cleanroom access ($120–$250/sq ft, achengineering.com), qualification test iteration (vibration/acoustic, triasrnd.com). Second prototype iteration likely needed.</t>
  </si>
  <si>
    <t xml:space="preserve">  Year 4 — CapEx</t>
  </si>
  <si>
    <t>CONSERVATIVE: $150k. Certification lab setup, test equipment calibration, ECSS/CCSDS standardization body fees.</t>
  </si>
  <si>
    <t xml:space="preserve">  Year 5 — CapEx</t>
  </si>
  <si>
    <t>Maintenance CapEx: IP infrastructure, lab upkeep, standard revision tooling. Ongoing from Year 5+.</t>
  </si>
  <si>
    <t xml:space="preserve">  Year 6 — CapEx</t>
  </si>
  <si>
    <t>[EXTRAP] Scaled certification infrastructure.</t>
  </si>
  <si>
    <t xml:space="preserve">  Year 7 — CapEx</t>
  </si>
  <si>
    <t>[EXTRAP] Additional test capacity as module catalog grows.</t>
  </si>
  <si>
    <t xml:space="preserve">  Year 8 — CapEx</t>
  </si>
  <si>
    <t>[EXTRAP] Steady-state.</t>
  </si>
  <si>
    <t xml:space="preserve">  Year 9 — CapEx</t>
  </si>
  <si>
    <t xml:space="preserve">  Year 10 — CapEx</t>
  </si>
  <si>
    <t>D  ·  NON-DILUTIVE GRANTS  (conservative — do not count on full amounts)</t>
  </si>
  <si>
    <t xml:space="preserve">  Year 1 — Grants Received</t>
  </si>
  <si>
    <t>CONSERVATIVE: €60k ESA BIC (sbicnoordwijk.nl) = ~$65k. Modeled at $100k assuming BIC + partial iNNpulsa or equivalent national grant. Do NOT model full NASA TechLeap $500k until application is submitted.</t>
  </si>
  <si>
    <t xml:space="preserve">  Year 2 — Grants Received</t>
  </si>
  <si>
    <t>CONSERVATIVE: ESA Spark €75k (~$82k), modeled at $75k. Source: esa-technology-broker.cz/spark-funding/. Only Year 2.</t>
  </si>
  <si>
    <t xml:space="preserve">  Year 3 — Grants Received</t>
  </si>
  <si>
    <t>Grants exhausted. Apply for next tranche (Horizon Europe, national R&amp;D fund) but do not model until awarded.</t>
  </si>
  <si>
    <t xml:space="preserve">  Year 4 — Grants Received</t>
  </si>
  <si>
    <t xml:space="preserve">  Year 5 — Grants Received</t>
  </si>
  <si>
    <t xml:space="preserve">  Year 6 — Grants Received</t>
  </si>
  <si>
    <t xml:space="preserve">  Year 7 — Grants Received</t>
  </si>
  <si>
    <t xml:space="preserve">  Year 8 — Grants Received</t>
  </si>
  <si>
    <t xml:space="preserve">  Year 9 — Grants Received</t>
  </si>
  <si>
    <t xml:space="preserve">  Year 10 — Grants Received</t>
  </si>
  <si>
    <t>E  ·  VALUATION &amp; INDICATOR PARAMETERS</t>
  </si>
  <si>
    <t>Terminal Year EBITDA Multiple (exit / valuation)</t>
  </si>
  <si>
    <t>CONSERVATIVE: 5x vs. report's 6x. Accounts for slower adoption, higher EU overhead, and early-stage risk premium. Pure software IP companies trade 15–20x; hardware-adjacent aerospace IP ~6–8x. 5x is the stressed floor. Do not use &gt;6x without strategic acquirer interest confirmed.</t>
  </si>
  <si>
    <t>Working Capital as % of Incremental Revenue</t>
  </si>
  <si>
    <t>CONSERVATIVE: 12% vs. report's 10%. EU payment terms are typically 60–90 days vs. 30 days US. Ref: Damodaran Jan-2026 A&amp;D sector WK/Sales = 41.2% (stern.nyu.edu); IP model far lower but EU receivables cycle is longer.</t>
  </si>
  <si>
    <t>Opportunity Cost / Alternative Investment Rate (VAE / B:C)</t>
  </si>
  <si>
    <t>Conservative proxy for cost of capital for VAE and B:C calculations. Matches image template parameter (12.3% rounded to 12%). Represents return foregone by committing capital to GoatSat vs. alternative.</t>
  </si>
  <si>
    <t>Phase</t>
  </si>
  <si>
    <t>Phase 1
R&amp;D</t>
  </si>
  <si>
    <t>Phase 1/2
R&amp;D+Demo</t>
  </si>
  <si>
    <t>Phase 2/3
Demo+Cert</t>
  </si>
  <si>
    <t>Phase 3/4
Cert+Scale</t>
  </si>
  <si>
    <t>Phase 4
Scale</t>
  </si>
  <si>
    <t>Phase 4</t>
  </si>
  <si>
    <t>Phase 4
Mature</t>
  </si>
  <si>
    <t>10-Yr Total</t>
  </si>
  <si>
    <t>LINE ITEM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</si>
  <si>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</si>
  <si>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</si>
  <si>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</si>
  <si>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</si>
  <si>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</si>
  <si>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</si>
  <si>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</si>
  <si>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</si>
  <si>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</si>
  <si>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</si>
  <si>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</t>
  </si>
  <si>
    <t>REVENUE</t>
  </si>
  <si>
    <t>Adopter Licensing Fees</t>
  </si>
  <si>
    <t>Module Royalties</t>
  </si>
  <si>
    <t>Certification Fees (on net new adopters)</t>
  </si>
  <si>
    <t>Non-Dilutive Grants (ESA BIC / Spark)</t>
  </si>
  <si>
    <t>TOTAL GROSS REVENUE</t>
  </si>
  <si>
    <t>OPERATING EXPENSES (OPEX)  —  EUROPEAN HUB RATES</t>
  </si>
  <si>
    <t>R&amp;D / Engineering Payroll (EU Hub, incl. social charges)</t>
  </si>
  <si>
    <t>IP &amp; Legal Filings (PCT / USPTO / EPO)</t>
  </si>
  <si>
    <t>SG&amp;A &amp; Ecosystem Marketing</t>
  </si>
  <si>
    <t>TOTAL OPEX</t>
  </si>
  <si>
    <t>PROFITABILITY</t>
  </si>
  <si>
    <t>EBITDA</t>
  </si>
  <si>
    <t>Depreciation &amp; Amortization (D&amp;A)</t>
  </si>
  <si>
    <t>EBIT  (Operating Profit)</t>
  </si>
  <si>
    <t>Operational Tax (Standard until Year in Assumptions, then R&amp;D Credit Rate)</t>
  </si>
  <si>
    <t>NOPAT  (Net Operating Profit After Tax)</t>
  </si>
  <si>
    <t>FREE CASH FLOW (FCL) BRIDGE</t>
  </si>
  <si>
    <t>Add Back: D&amp;A (non-cash charge)</t>
  </si>
  <si>
    <t>Less: Capital Expenditures (CapEx)</t>
  </si>
  <si>
    <t>Less: Change in Working Capital (ΔWK)</t>
  </si>
  <si>
    <t>FLUJO DE CAJA LIBRE / FREE CASH FLOW (FCF)</t>
  </si>
  <si>
    <t xml:space="preserve">  Cumulative FCF (tracks valley of death)</t>
  </si>
  <si>
    <t>Terminal Value (Year 10 EBITDA × Conservative Multiple from Assumptions)</t>
  </si>
  <si>
    <t>VPN / NPV  — Valor Presente Neto</t>
  </si>
  <si>
    <t>TIR / IRR  — Tasa Interna de Retorno</t>
  </si>
  <si>
    <t>PayBack  — First Year Cumulative FCF Turns Positive</t>
  </si>
  <si>
    <t>Costo de Oportunidad / Discount Rate  (from Assumptions A)</t>
  </si>
  <si>
    <t>Max Drawdown  — Total Capital Required Before Breakeven</t>
  </si>
  <si>
    <t xml:space="preserve">GOATSAT  -  10-YEAR FREE CASH FLOW MODEL </t>
  </si>
  <si>
    <t>https://pages.stern.nyu.edu/~adamodar/New_Home_Page/datafile/wacc.html</t>
  </si>
  <si>
    <t>https://www.ecb.europa.eu/stats/macroeconomic_and_sectoral/hicp/html/index.en.html</t>
  </si>
  <si>
    <t>Gordon Shapiro</t>
  </si>
  <si>
    <t>Supone que la empresa seguirá creciendo a una tasa constante</t>
  </si>
  <si>
    <t>(Valor de periodo 10)</t>
  </si>
  <si>
    <t>VPN de la valuación en año 10</t>
  </si>
  <si>
    <t>Damodaran</t>
  </si>
  <si>
    <t>vs 169M regla pulgar de 5</t>
  </si>
  <si>
    <t>FCL - Con valor terminal (Graficar Este)</t>
  </si>
  <si>
    <t>FCF con VDT</t>
  </si>
  <si>
    <t>Año 7</t>
  </si>
  <si>
    <t>TIR W/O Perpetuiry</t>
  </si>
  <si>
    <t>2% Inflation</t>
  </si>
  <si>
    <t>★FINANCIAL HEALTH INDICATORS  -  Derived from FCF above  (all formulas reference Assumptions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</si>
</sst>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;&quot;($&quot;#,##0\);\-"/>
    <numFmt numFmtId="166" formatCode="0.0"/>
    <numFmt numFmtId="167" formatCode="&quot;Year &quot;0"/>
  </numFmts>
  <fonts count="2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sz val="8"/>
      <color rgb="FF0000FF"/>
      <name val="Arial"/>
      <family val="2"/>
    </font>
    <font>
      <sz val="8"/>
      <color rgb="FF444444"/>
      <name val="Arial"/>
      <family val="2"/>
    </font>
    <font>
      <b/>
      <sz val="9"/>
      <color rgb="FF1B4332"/>
      <name val="Arial"/>
      <family val="2"/>
    </font>
    <font>
      <b/>
      <sz val="12"/>
      <color rgb="FFFFFFFF"/>
      <name val="Arial"/>
      <family val="2"/>
    </font>
    <font>
      <i/>
      <sz val="8"/>
      <color rgb="FF444444"/>
      <name val="Arial"/>
      <family val="2"/>
    </font>
    <font>
      <b/>
      <sz val="8"/>
      <color rgb="FFFFFFFF"/>
      <name val="Arial"/>
      <family val="2"/>
    </font>
    <font>
      <sz val="9"/>
      <color rgb="FF666666"/>
      <name val="Arial"/>
      <family val="2"/>
    </font>
    <font>
      <b/>
      <sz val="9"/>
      <color rgb="FF000000"/>
      <name val="Arial"/>
      <family val="2"/>
    </font>
    <font>
      <sz val="8"/>
      <color rgb="FF555555"/>
      <name val="Arial"/>
      <family val="2"/>
    </font>
    <font>
      <b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1"/>
      <color rgb="FF1B4332"/>
      <name val="Arial"/>
      <family val="2"/>
    </font>
    <font>
      <u/>
      <sz val="11"/>
      <color theme="10"/>
      <name val="Calibri"/>
      <family val="2"/>
      <charset val="1"/>
    </font>
    <font>
      <sz val="9"/>
      <color rgb="FFFF0000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charset val="1"/>
    </font>
    <font>
      <u/>
      <sz val="8"/>
      <color rgb="FF44444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4332"/>
        <bgColor rgb="FF444444"/>
      </patternFill>
    </fill>
    <fill>
      <patternFill patternType="solid">
        <fgColor rgb="FFFFF9C4"/>
        <bgColor rgb="FFF5F5F5"/>
      </patternFill>
    </fill>
    <fill>
      <patternFill patternType="solid">
        <fgColor rgb="FF2D6A4F"/>
        <bgColor rgb="FF555555"/>
      </patternFill>
    </fill>
    <fill>
      <patternFill patternType="solid">
        <fgColor rgb="FFF5F5F5"/>
        <bgColor rgb="FFEEEEEE"/>
      </patternFill>
    </fill>
    <fill>
      <patternFill patternType="solid">
        <fgColor rgb="FFFFFFFF"/>
        <bgColor rgb="FFF5F5F5"/>
      </patternFill>
    </fill>
    <fill>
      <patternFill patternType="solid">
        <fgColor rgb="FF52B788"/>
        <bgColor rgb="FF40916C"/>
      </patternFill>
    </fill>
    <fill>
      <patternFill patternType="solid">
        <fgColor rgb="FF40916C"/>
        <bgColor rgb="FF52B788"/>
      </patternFill>
    </fill>
    <fill>
      <patternFill patternType="solid">
        <fgColor rgb="FFD8F3DC"/>
        <bgColor rgb="FFEEEEEE"/>
      </patternFill>
    </fill>
    <fill>
      <patternFill patternType="solid">
        <fgColor rgb="FFE0E0E0"/>
        <bgColor rgb="FFEEEEEE"/>
      </patternFill>
    </fill>
  </fills>
  <borders count="28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EEEEEE"/>
      </left>
      <right/>
      <top style="thin">
        <color rgb="FFEEEEEE"/>
      </top>
      <bottom style="thin">
        <color rgb="FFEEEEEE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EEEEEE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/>
      <top style="thin">
        <color rgb="FFCCCCCC"/>
      </top>
      <bottom style="thin">
        <color rgb="FF888888"/>
      </bottom>
      <diagonal/>
    </border>
    <border>
      <left/>
      <right/>
      <top style="thin">
        <color rgb="FFCCCCCC"/>
      </top>
      <bottom style="thin">
        <color rgb="FF888888"/>
      </bottom>
      <diagonal/>
    </border>
    <border>
      <left/>
      <right style="thin">
        <color rgb="FFCCCCCC"/>
      </right>
      <top style="thin">
        <color rgb="FFCCCCCC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165" fontId="3" fillId="6" borderId="2" xfId="0" applyNumberFormat="1" applyFont="1" applyFill="1" applyBorder="1" applyAlignment="1">
      <alignment horizontal="right" vertical="center"/>
    </xf>
    <xf numFmtId="165" fontId="11" fillId="9" borderId="2" xfId="0" applyNumberFormat="1" applyFont="1" applyFill="1" applyBorder="1" applyAlignment="1">
      <alignment horizontal="right" vertical="center"/>
    </xf>
    <xf numFmtId="165" fontId="12" fillId="10" borderId="1" xfId="0" applyNumberFormat="1" applyFont="1" applyFill="1" applyBorder="1" applyAlignment="1">
      <alignment horizontal="right" vertical="center"/>
    </xf>
    <xf numFmtId="0" fontId="13" fillId="0" borderId="3" xfId="0" applyFont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/>
    </xf>
    <xf numFmtId="165" fontId="12" fillId="9" borderId="2" xfId="0" applyNumberFormat="1" applyFont="1" applyFill="1" applyBorder="1" applyAlignment="1">
      <alignment horizontal="right" vertical="center"/>
    </xf>
    <xf numFmtId="165" fontId="14" fillId="9" borderId="2" xfId="0" applyNumberFormat="1" applyFont="1" applyFill="1" applyBorder="1" applyAlignment="1">
      <alignment horizontal="right" vertical="center"/>
    </xf>
    <xf numFmtId="0" fontId="17" fillId="6" borderId="3" xfId="1" applyFill="1" applyBorder="1" applyAlignment="1">
      <alignment horizontal="left" vertical="center" wrapText="1"/>
    </xf>
    <xf numFmtId="164" fontId="18" fillId="3" borderId="2" xfId="0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vertical="center"/>
    </xf>
    <xf numFmtId="165" fontId="4" fillId="3" borderId="10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left" vertical="center"/>
    </xf>
    <xf numFmtId="164" fontId="4" fillId="3" borderId="12" xfId="0" applyNumberFormat="1" applyFont="1" applyFill="1" applyBorder="1" applyAlignment="1">
      <alignment horizontal="center" vertical="center"/>
    </xf>
    <xf numFmtId="165" fontId="4" fillId="3" borderId="12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center"/>
    </xf>
    <xf numFmtId="165" fontId="4" fillId="3" borderId="14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15" xfId="0" applyFont="1" applyBorder="1"/>
    <xf numFmtId="0" fontId="0" fillId="0" borderId="16" xfId="0" applyBorder="1"/>
    <xf numFmtId="0" fontId="0" fillId="0" borderId="17" xfId="0" applyBorder="1"/>
    <xf numFmtId="165" fontId="14" fillId="9" borderId="11" xfId="0" applyNumberFormat="1" applyFont="1" applyFill="1" applyBorder="1" applyAlignment="1">
      <alignment horizontal="right" vertical="center"/>
    </xf>
    <xf numFmtId="0" fontId="0" fillId="0" borderId="18" xfId="0" applyBorder="1"/>
    <xf numFmtId="0" fontId="0" fillId="0" borderId="19" xfId="0" applyBorder="1"/>
    <xf numFmtId="165" fontId="14" fillId="9" borderId="13" xfId="0" applyNumberFormat="1" applyFont="1" applyFill="1" applyBorder="1" applyAlignment="1">
      <alignment horizontal="right" vertical="center"/>
    </xf>
    <xf numFmtId="0" fontId="0" fillId="0" borderId="20" xfId="0" applyBorder="1"/>
    <xf numFmtId="0" fontId="0" fillId="0" borderId="21" xfId="0" applyBorder="1"/>
    <xf numFmtId="0" fontId="20" fillId="0" borderId="0" xfId="0" applyFont="1"/>
    <xf numFmtId="0" fontId="13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165" fontId="16" fillId="9" borderId="4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12" fillId="5" borderId="6" xfId="0" applyFont="1" applyFill="1" applyBorder="1" applyAlignment="1">
      <alignment horizontal="left" vertical="center"/>
    </xf>
    <xf numFmtId="165" fontId="16" fillId="9" borderId="7" xfId="0" applyNumberFormat="1" applyFont="1" applyFill="1" applyBorder="1" applyAlignment="1">
      <alignment horizontal="center" vertical="center"/>
    </xf>
    <xf numFmtId="164" fontId="16" fillId="9" borderId="7" xfId="0" applyNumberFormat="1" applyFont="1" applyFill="1" applyBorder="1" applyAlignment="1">
      <alignment horizontal="center" vertical="center"/>
    </xf>
    <xf numFmtId="164" fontId="16" fillId="9" borderId="22" xfId="0" applyNumberFormat="1" applyFont="1" applyFill="1" applyBorder="1" applyAlignment="1">
      <alignment horizontal="center" vertical="center"/>
    </xf>
    <xf numFmtId="164" fontId="16" fillId="9" borderId="23" xfId="0" applyNumberFormat="1" applyFont="1" applyFill="1" applyBorder="1" applyAlignment="1">
      <alignment horizontal="center" vertical="center"/>
    </xf>
    <xf numFmtId="167" fontId="16" fillId="9" borderId="7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165" fontId="16" fillId="9" borderId="22" xfId="0" applyNumberFormat="1" applyFont="1" applyFill="1" applyBorder="1" applyAlignment="1">
      <alignment horizontal="center" vertical="center"/>
    </xf>
    <xf numFmtId="165" fontId="16" fillId="9" borderId="23" xfId="0" applyNumberFormat="1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6" xfId="0" applyFont="1" applyFill="1" applyBorder="1" applyAlignment="1">
      <alignment horizontal="left" vertical="center"/>
    </xf>
    <xf numFmtId="164" fontId="16" fillId="9" borderId="27" xfId="0" applyNumberFormat="1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BBBBB"/>
      <rgbColor rgb="FF888888"/>
      <rgbColor rgb="FF9999FF"/>
      <rgbColor rgb="FF993366"/>
      <rgbColor rgb="FFFFF9C4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8F3DC"/>
      <rgbColor rgb="FFFFEBEE"/>
      <rgbColor rgb="FFE0E0E0"/>
      <rgbColor rgb="FFFF99CC"/>
      <rgbColor rgb="FFCC99FF"/>
      <rgbColor rgb="FFFFE0B2"/>
      <rgbColor rgb="FF3366FF"/>
      <rgbColor rgb="FF52B788"/>
      <rgbColor rgb="FF99CC00"/>
      <rgbColor rgb="FFFFCC00"/>
      <rgbColor rgb="FFFF9900"/>
      <rgbColor rgb="FFFF6600"/>
      <rgbColor rgb="FF666666"/>
      <rgbColor rgb="FF969696"/>
      <rgbColor rgb="FF003366"/>
      <rgbColor rgb="FF40916C"/>
      <rgbColor rgb="FF003300"/>
      <rgbColor rgb="FF1B4332"/>
      <rgbColor rgb="FFC0392B"/>
      <rgbColor rgb="FF993366"/>
      <rgbColor rgb="FF55555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Assumptions!$C$27:$C$36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120</c:v>
                </c:pt>
                <c:pt idx="5">
                  <c:v>280</c:v>
                </c:pt>
                <c:pt idx="6">
                  <c:v>520</c:v>
                </c:pt>
                <c:pt idx="7">
                  <c:v>850</c:v>
                </c:pt>
                <c:pt idx="8">
                  <c:v>1200</c:v>
                </c:pt>
                <c:pt idx="9">
                  <c:v>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1-4E96-94F4-9B666FAC8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750016"/>
        <c:axId val="995755776"/>
      </c:lineChart>
      <c:catAx>
        <c:axId val="9957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5755776"/>
        <c:crosses val="autoZero"/>
        <c:auto val="1"/>
        <c:lblAlgn val="ctr"/>
        <c:lblOffset val="100"/>
        <c:noMultiLvlLbl val="0"/>
      </c:catAx>
      <c:valAx>
        <c:axId val="9957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575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25</xdr:row>
      <xdr:rowOff>33337</xdr:rowOff>
    </xdr:from>
    <xdr:to>
      <xdr:col>14</xdr:col>
      <xdr:colOff>142875</xdr:colOff>
      <xdr:row>38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01E7A3-2E69-F9F5-71E8-A7FFA713B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lipe Gutierrez Apraez" id="{E4ADD775-D476-469D-A17C-3656DEF74674}" userId="S::f.gutierreza@uniandes.edu.co::d875b317-5d51-4dca-8973-3dbd6ad904d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3-18T23:38:51.62" personId="{E4ADD775-D476-469D-A17C-3656DEF74674}" id="{CACAE1D1-13EC-4248-BF76-C96FEFDAA0F9}">
    <text>Esto sería de ‘Early adopters’ que estarían dispuestos a trabajar con nosotros (aliados)</text>
  </threadedComment>
  <threadedComment ref="B29" dT="2026-03-18T23:54:37.26" personId="{E4ADD775-D476-469D-A17C-3656DEF74674}" id="{D3B91B1B-AD3B-4911-A94A-C170798D2E0B}">
    <text>Esto se hizo para ver cúando se recupera la inversión
(Año 7 es PAYBACK, la suma da positiva)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ecb.europa.eu/stats/macroeconomic_and_sectoral/hicp/html/index.en.html" TargetMode="External"/><Relationship Id="rId1" Type="http://schemas.openxmlformats.org/officeDocument/2006/relationships/hyperlink" Target="https://pages.stern.nyu.edu/~adamodar/New_Home_Page/datafile/wacc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0"/>
  <sheetViews>
    <sheetView showGridLines="0" tabSelected="1" zoomScaleNormal="100" workbookViewId="0">
      <selection activeCell="E6" sqref="E6"/>
    </sheetView>
  </sheetViews>
  <sheetFormatPr baseColWidth="10" defaultColWidth="8.7109375" defaultRowHeight="15" x14ac:dyDescent="0.25"/>
  <cols>
    <col min="1" max="1" width="3" customWidth="1"/>
    <col min="2" max="2" width="44" customWidth="1"/>
    <col min="3" max="3" width="20" customWidth="1"/>
    <col min="4" max="4" width="10" customWidth="1"/>
    <col min="5" max="5" width="62" customWidth="1"/>
  </cols>
  <sheetData>
    <row r="1" spans="2:7" ht="31.5" customHeight="1" x14ac:dyDescent="0.25">
      <c r="B1" s="58" t="s">
        <v>0</v>
      </c>
      <c r="C1" s="58"/>
      <c r="D1" s="58"/>
      <c r="E1" s="58"/>
    </row>
    <row r="2" spans="2:7" ht="18" customHeight="1" x14ac:dyDescent="0.25">
      <c r="B2" s="1" t="s">
        <v>1</v>
      </c>
      <c r="C2" s="1" t="s">
        <v>2</v>
      </c>
      <c r="D2" s="1" t="s">
        <v>3</v>
      </c>
      <c r="E2" s="1" t="s">
        <v>4</v>
      </c>
    </row>
    <row r="3" spans="2:7" ht="18" customHeight="1" x14ac:dyDescent="0.25">
      <c r="B3" s="47" t="s">
        <v>5</v>
      </c>
      <c r="C3" s="47"/>
      <c r="D3" s="47"/>
      <c r="E3" s="47"/>
    </row>
    <row r="4" spans="2:7" ht="28.5" customHeight="1" x14ac:dyDescent="0.25">
      <c r="B4" s="2" t="s">
        <v>6</v>
      </c>
      <c r="C4" s="3">
        <v>9.01E-2</v>
      </c>
      <c r="D4" s="4" t="s">
        <v>7</v>
      </c>
      <c r="E4" s="23" t="s">
        <v>175</v>
      </c>
      <c r="G4" s="33" t="s">
        <v>181</v>
      </c>
    </row>
    <row r="5" spans="2:7" ht="33.75" x14ac:dyDescent="0.25">
      <c r="B5" s="2" t="s">
        <v>8</v>
      </c>
      <c r="C5" s="3">
        <v>0.12740000000000001</v>
      </c>
      <c r="D5" s="4" t="s">
        <v>7</v>
      </c>
      <c r="E5" s="5" t="s">
        <v>9</v>
      </c>
    </row>
    <row r="6" spans="2:7" ht="33.75" x14ac:dyDescent="0.25">
      <c r="B6" s="2" t="s">
        <v>10</v>
      </c>
      <c r="C6" s="24">
        <v>0.17499999999999999</v>
      </c>
      <c r="D6" s="4" t="s">
        <v>7</v>
      </c>
      <c r="E6" s="66" t="s">
        <v>11</v>
      </c>
    </row>
    <row r="7" spans="2:7" ht="22.5" x14ac:dyDescent="0.25">
      <c r="B7" s="2" t="s">
        <v>12</v>
      </c>
      <c r="C7" s="6">
        <v>5</v>
      </c>
      <c r="D7" s="4" t="s">
        <v>7</v>
      </c>
      <c r="E7" s="5" t="s">
        <v>13</v>
      </c>
    </row>
    <row r="8" spans="2:7" ht="21.75" customHeight="1" x14ac:dyDescent="0.25">
      <c r="B8" s="2" t="s">
        <v>14</v>
      </c>
      <c r="C8" s="3">
        <v>0.02</v>
      </c>
      <c r="D8" s="4" t="s">
        <v>7</v>
      </c>
      <c r="E8" s="23" t="s">
        <v>176</v>
      </c>
      <c r="G8" s="33" t="s">
        <v>181</v>
      </c>
    </row>
    <row r="9" spans="2:7" ht="15.75" customHeight="1" x14ac:dyDescent="0.25">
      <c r="B9" s="2" t="s">
        <v>15</v>
      </c>
      <c r="C9" s="7" t="s">
        <v>16</v>
      </c>
      <c r="D9" s="4" t="s">
        <v>7</v>
      </c>
      <c r="E9" s="5" t="s">
        <v>17</v>
      </c>
    </row>
    <row r="10" spans="2:7" ht="18" customHeight="1" thickBot="1" x14ac:dyDescent="0.3">
      <c r="B10" s="47" t="s">
        <v>18</v>
      </c>
      <c r="C10" s="47"/>
      <c r="D10" s="47"/>
      <c r="E10" s="47"/>
    </row>
    <row r="11" spans="2:7" ht="15.75" customHeight="1" x14ac:dyDescent="0.25">
      <c r="B11" s="26" t="s">
        <v>19</v>
      </c>
      <c r="C11" s="27">
        <v>50000</v>
      </c>
      <c r="D11" s="25" t="s">
        <v>7</v>
      </c>
      <c r="E11" s="5" t="s">
        <v>20</v>
      </c>
    </row>
    <row r="12" spans="2:7" ht="15.75" customHeight="1" x14ac:dyDescent="0.25">
      <c r="B12" s="28" t="s">
        <v>21</v>
      </c>
      <c r="C12" s="29">
        <v>0.05</v>
      </c>
      <c r="D12" s="25" t="s">
        <v>7</v>
      </c>
      <c r="E12" s="5" t="s">
        <v>22</v>
      </c>
    </row>
    <row r="13" spans="2:7" ht="15.75" customHeight="1" x14ac:dyDescent="0.25">
      <c r="B13" s="28" t="s">
        <v>23</v>
      </c>
      <c r="C13" s="30">
        <v>450000</v>
      </c>
      <c r="D13" s="25" t="s">
        <v>7</v>
      </c>
      <c r="E13" s="5" t="s">
        <v>24</v>
      </c>
    </row>
    <row r="14" spans="2:7" ht="15.75" customHeight="1" thickBot="1" x14ac:dyDescent="0.3">
      <c r="B14" s="31" t="s">
        <v>25</v>
      </c>
      <c r="C14" s="32">
        <v>20000</v>
      </c>
      <c r="D14" s="25" t="s">
        <v>7</v>
      </c>
      <c r="E14" s="5" t="s">
        <v>26</v>
      </c>
    </row>
    <row r="15" spans="2:7" ht="18" customHeight="1" x14ac:dyDescent="0.25">
      <c r="B15" s="59" t="s">
        <v>27</v>
      </c>
      <c r="C15" s="59"/>
      <c r="D15" s="59"/>
      <c r="E15" s="59"/>
    </row>
    <row r="16" spans="2:7" ht="15.75" customHeight="1" x14ac:dyDescent="0.25">
      <c r="B16" s="2" t="s">
        <v>28</v>
      </c>
      <c r="C16" s="6">
        <v>0</v>
      </c>
      <c r="D16" s="4" t="s">
        <v>7</v>
      </c>
      <c r="E16" s="5" t="s">
        <v>29</v>
      </c>
    </row>
    <row r="17" spans="2:5" ht="15.75" customHeight="1" x14ac:dyDescent="0.25">
      <c r="B17" s="2" t="s">
        <v>30</v>
      </c>
      <c r="C17" s="6">
        <v>0</v>
      </c>
      <c r="D17" s="4" t="s">
        <v>7</v>
      </c>
      <c r="E17" s="5" t="s">
        <v>31</v>
      </c>
    </row>
    <row r="18" spans="2:5" ht="15.75" customHeight="1" x14ac:dyDescent="0.25">
      <c r="B18" s="2" t="s">
        <v>32</v>
      </c>
      <c r="C18" s="6">
        <v>3</v>
      </c>
      <c r="D18" s="4" t="s">
        <v>7</v>
      </c>
      <c r="E18" s="5" t="s">
        <v>33</v>
      </c>
    </row>
    <row r="19" spans="2:5" ht="15.75" customHeight="1" x14ac:dyDescent="0.25">
      <c r="B19" s="2" t="s">
        <v>34</v>
      </c>
      <c r="C19" s="6">
        <v>7</v>
      </c>
      <c r="D19" s="4" t="s">
        <v>7</v>
      </c>
      <c r="E19" s="5" t="s">
        <v>35</v>
      </c>
    </row>
    <row r="20" spans="2:5" ht="15.75" customHeight="1" x14ac:dyDescent="0.25">
      <c r="B20" s="2" t="s">
        <v>36</v>
      </c>
      <c r="C20" s="6">
        <v>14</v>
      </c>
      <c r="D20" s="4" t="s">
        <v>7</v>
      </c>
      <c r="E20" s="5" t="s">
        <v>37</v>
      </c>
    </row>
    <row r="21" spans="2:5" ht="15.75" customHeight="1" x14ac:dyDescent="0.25">
      <c r="B21" s="2" t="s">
        <v>38</v>
      </c>
      <c r="C21" s="6">
        <v>25</v>
      </c>
      <c r="D21" s="4" t="s">
        <v>7</v>
      </c>
      <c r="E21" s="5" t="s">
        <v>39</v>
      </c>
    </row>
    <row r="22" spans="2:5" ht="15.75" customHeight="1" x14ac:dyDescent="0.25">
      <c r="B22" s="2" t="s">
        <v>40</v>
      </c>
      <c r="C22" s="6">
        <v>40</v>
      </c>
      <c r="D22" s="4" t="s">
        <v>7</v>
      </c>
      <c r="E22" s="5" t="s">
        <v>41</v>
      </c>
    </row>
    <row r="23" spans="2:5" ht="15.75" customHeight="1" x14ac:dyDescent="0.25">
      <c r="B23" s="2" t="s">
        <v>42</v>
      </c>
      <c r="C23" s="6">
        <v>58</v>
      </c>
      <c r="D23" s="4" t="s">
        <v>7</v>
      </c>
      <c r="E23" s="5" t="s">
        <v>43</v>
      </c>
    </row>
    <row r="24" spans="2:5" ht="15.75" customHeight="1" x14ac:dyDescent="0.25">
      <c r="B24" s="2" t="s">
        <v>44</v>
      </c>
      <c r="C24" s="6">
        <v>72</v>
      </c>
      <c r="D24" s="4" t="s">
        <v>7</v>
      </c>
      <c r="E24" s="5" t="s">
        <v>45</v>
      </c>
    </row>
    <row r="25" spans="2:5" ht="15.75" customHeight="1" x14ac:dyDescent="0.25">
      <c r="B25" s="2" t="s">
        <v>46</v>
      </c>
      <c r="C25" s="6">
        <v>82</v>
      </c>
      <c r="D25" s="4" t="s">
        <v>7</v>
      </c>
      <c r="E25" s="5" t="s">
        <v>47</v>
      </c>
    </row>
    <row r="26" spans="2:5" ht="18" customHeight="1" x14ac:dyDescent="0.25">
      <c r="B26" s="59" t="s">
        <v>48</v>
      </c>
      <c r="C26" s="59"/>
      <c r="D26" s="59"/>
      <c r="E26" s="59"/>
    </row>
    <row r="27" spans="2:5" ht="15.75" customHeight="1" x14ac:dyDescent="0.25">
      <c r="B27" s="2" t="s">
        <v>49</v>
      </c>
      <c r="C27" s="6">
        <v>0</v>
      </c>
      <c r="D27" s="4" t="s">
        <v>7</v>
      </c>
      <c r="E27" s="5" t="s">
        <v>50</v>
      </c>
    </row>
    <row r="28" spans="2:5" ht="15.75" customHeight="1" x14ac:dyDescent="0.25">
      <c r="B28" s="2" t="s">
        <v>51</v>
      </c>
      <c r="C28" s="6">
        <v>0</v>
      </c>
      <c r="D28" s="4" t="s">
        <v>7</v>
      </c>
      <c r="E28" s="5" t="s">
        <v>52</v>
      </c>
    </row>
    <row r="29" spans="2:5" ht="15.75" customHeight="1" x14ac:dyDescent="0.25">
      <c r="B29" s="2" t="s">
        <v>53</v>
      </c>
      <c r="C29" s="6">
        <v>0</v>
      </c>
      <c r="D29" s="4" t="s">
        <v>7</v>
      </c>
      <c r="E29" s="5" t="s">
        <v>54</v>
      </c>
    </row>
    <row r="30" spans="2:5" ht="15.75" customHeight="1" x14ac:dyDescent="0.25">
      <c r="B30" s="2" t="s">
        <v>55</v>
      </c>
      <c r="C30" s="6">
        <v>30</v>
      </c>
      <c r="D30" s="4" t="s">
        <v>7</v>
      </c>
      <c r="E30" s="5" t="s">
        <v>56</v>
      </c>
    </row>
    <row r="31" spans="2:5" ht="15.75" customHeight="1" x14ac:dyDescent="0.25">
      <c r="B31" s="2" t="s">
        <v>57</v>
      </c>
      <c r="C31" s="6">
        <v>120</v>
      </c>
      <c r="D31" s="4" t="s">
        <v>7</v>
      </c>
      <c r="E31" s="5" t="s">
        <v>58</v>
      </c>
    </row>
    <row r="32" spans="2:5" ht="15.75" customHeight="1" x14ac:dyDescent="0.25">
      <c r="B32" s="2" t="s">
        <v>59</v>
      </c>
      <c r="C32" s="6">
        <v>280</v>
      </c>
      <c r="D32" s="4" t="s">
        <v>7</v>
      </c>
      <c r="E32" s="5" t="s">
        <v>60</v>
      </c>
    </row>
    <row r="33" spans="2:5" ht="15.75" customHeight="1" x14ac:dyDescent="0.25">
      <c r="B33" s="2" t="s">
        <v>61</v>
      </c>
      <c r="C33" s="6">
        <v>520</v>
      </c>
      <c r="D33" s="4" t="s">
        <v>7</v>
      </c>
      <c r="E33" s="5" t="s">
        <v>62</v>
      </c>
    </row>
    <row r="34" spans="2:5" ht="15.75" customHeight="1" x14ac:dyDescent="0.25">
      <c r="B34" s="2" t="s">
        <v>63</v>
      </c>
      <c r="C34" s="6">
        <v>850</v>
      </c>
      <c r="D34" s="4" t="s">
        <v>7</v>
      </c>
      <c r="E34" s="5" t="s">
        <v>64</v>
      </c>
    </row>
    <row r="35" spans="2:5" ht="15.75" customHeight="1" x14ac:dyDescent="0.25">
      <c r="B35" s="2" t="s">
        <v>65</v>
      </c>
      <c r="C35" s="6">
        <v>1200</v>
      </c>
      <c r="D35" s="4" t="s">
        <v>7</v>
      </c>
      <c r="E35" s="5" t="s">
        <v>66</v>
      </c>
    </row>
    <row r="36" spans="2:5" ht="15.75" customHeight="1" x14ac:dyDescent="0.25">
      <c r="B36" s="2" t="s">
        <v>67</v>
      </c>
      <c r="C36" s="6">
        <v>1550</v>
      </c>
      <c r="D36" s="4" t="s">
        <v>7</v>
      </c>
      <c r="E36" s="5" t="s">
        <v>68</v>
      </c>
    </row>
    <row r="37" spans="2:5" ht="18" customHeight="1" thickBot="1" x14ac:dyDescent="0.3">
      <c r="B37" s="47" t="s">
        <v>69</v>
      </c>
      <c r="C37" s="47"/>
      <c r="D37" s="47"/>
      <c r="E37" s="47"/>
    </row>
    <row r="38" spans="2:5" ht="15.75" customHeight="1" x14ac:dyDescent="0.25">
      <c r="B38" s="26" t="s">
        <v>70</v>
      </c>
      <c r="C38" s="27">
        <v>900000</v>
      </c>
      <c r="D38" s="25" t="s">
        <v>7</v>
      </c>
      <c r="E38" s="5" t="s">
        <v>71</v>
      </c>
    </row>
    <row r="39" spans="2:5" ht="15.75" customHeight="1" x14ac:dyDescent="0.25">
      <c r="B39" s="28" t="s">
        <v>72</v>
      </c>
      <c r="C39" s="29">
        <v>0.18</v>
      </c>
      <c r="D39" s="25" t="s">
        <v>7</v>
      </c>
      <c r="E39" s="5" t="s">
        <v>73</v>
      </c>
    </row>
    <row r="40" spans="2:5" ht="15.75" customHeight="1" x14ac:dyDescent="0.25">
      <c r="B40" s="28" t="s">
        <v>74</v>
      </c>
      <c r="C40" s="30">
        <v>200000</v>
      </c>
      <c r="D40" s="25" t="s">
        <v>7</v>
      </c>
      <c r="E40" s="5" t="s">
        <v>75</v>
      </c>
    </row>
    <row r="41" spans="2:5" ht="15.75" customHeight="1" x14ac:dyDescent="0.25">
      <c r="B41" s="28" t="s">
        <v>76</v>
      </c>
      <c r="C41" s="30">
        <v>150000</v>
      </c>
      <c r="D41" s="25" t="s">
        <v>7</v>
      </c>
      <c r="E41" s="5" t="s">
        <v>77</v>
      </c>
    </row>
    <row r="42" spans="2:5" ht="15.75" customHeight="1" x14ac:dyDescent="0.25">
      <c r="B42" s="28" t="s">
        <v>78</v>
      </c>
      <c r="C42" s="29">
        <v>0.25</v>
      </c>
      <c r="D42" s="25" t="s">
        <v>7</v>
      </c>
      <c r="E42" s="5" t="s">
        <v>79</v>
      </c>
    </row>
    <row r="43" spans="2:5" ht="15.75" customHeight="1" x14ac:dyDescent="0.25">
      <c r="B43" s="28" t="s">
        <v>80</v>
      </c>
      <c r="C43" s="30">
        <v>25000</v>
      </c>
      <c r="D43" s="25" t="s">
        <v>7</v>
      </c>
      <c r="E43" s="5" t="s">
        <v>81</v>
      </c>
    </row>
    <row r="44" spans="2:5" ht="15.75" customHeight="1" thickBot="1" x14ac:dyDescent="0.3">
      <c r="B44" s="31" t="s">
        <v>82</v>
      </c>
      <c r="C44" s="32">
        <v>25000</v>
      </c>
      <c r="D44" s="25" t="s">
        <v>7</v>
      </c>
      <c r="E44" s="5" t="s">
        <v>83</v>
      </c>
    </row>
    <row r="45" spans="2:5" ht="18" customHeight="1" thickBot="1" x14ac:dyDescent="0.3">
      <c r="B45" s="59" t="s">
        <v>84</v>
      </c>
      <c r="C45" s="59"/>
      <c r="D45" s="59"/>
      <c r="E45" s="59"/>
    </row>
    <row r="46" spans="2:5" ht="15.75" customHeight="1" x14ac:dyDescent="0.25">
      <c r="B46" s="26" t="s">
        <v>85</v>
      </c>
      <c r="C46" s="27">
        <v>250000</v>
      </c>
      <c r="D46" s="25" t="s">
        <v>7</v>
      </c>
      <c r="E46" s="5" t="s">
        <v>86</v>
      </c>
    </row>
    <row r="47" spans="2:5" ht="15.75" customHeight="1" x14ac:dyDescent="0.25">
      <c r="B47" s="28" t="s">
        <v>87</v>
      </c>
      <c r="C47" s="30">
        <v>1100000</v>
      </c>
      <c r="D47" s="25" t="s">
        <v>7</v>
      </c>
      <c r="E47" s="5" t="s">
        <v>88</v>
      </c>
    </row>
    <row r="48" spans="2:5" ht="15.75" customHeight="1" x14ac:dyDescent="0.25">
      <c r="B48" s="28" t="s">
        <v>89</v>
      </c>
      <c r="C48" s="30">
        <v>350000</v>
      </c>
      <c r="D48" s="25" t="s">
        <v>7</v>
      </c>
      <c r="E48" s="5" t="s">
        <v>90</v>
      </c>
    </row>
    <row r="49" spans="2:5" ht="15.75" customHeight="1" x14ac:dyDescent="0.25">
      <c r="B49" s="28" t="s">
        <v>91</v>
      </c>
      <c r="C49" s="30">
        <v>150000</v>
      </c>
      <c r="D49" s="25" t="s">
        <v>7</v>
      </c>
      <c r="E49" s="5" t="s">
        <v>92</v>
      </c>
    </row>
    <row r="50" spans="2:5" ht="15.75" customHeight="1" x14ac:dyDescent="0.25">
      <c r="B50" s="28" t="s">
        <v>93</v>
      </c>
      <c r="C50" s="30">
        <v>175000</v>
      </c>
      <c r="D50" s="25" t="s">
        <v>7</v>
      </c>
      <c r="E50" s="5" t="s">
        <v>94</v>
      </c>
    </row>
    <row r="51" spans="2:5" ht="15.75" customHeight="1" x14ac:dyDescent="0.25">
      <c r="B51" s="28" t="s">
        <v>95</v>
      </c>
      <c r="C51" s="30">
        <v>200000</v>
      </c>
      <c r="D51" s="25" t="s">
        <v>7</v>
      </c>
      <c r="E51" s="5" t="s">
        <v>96</v>
      </c>
    </row>
    <row r="52" spans="2:5" ht="15.75" customHeight="1" x14ac:dyDescent="0.25">
      <c r="B52" s="28" t="s">
        <v>97</v>
      </c>
      <c r="C52" s="30">
        <v>225000</v>
      </c>
      <c r="D52" s="25" t="s">
        <v>7</v>
      </c>
      <c r="E52" s="5" t="s">
        <v>98</v>
      </c>
    </row>
    <row r="53" spans="2:5" ht="15.75" customHeight="1" x14ac:dyDescent="0.25">
      <c r="B53" s="28" t="s">
        <v>99</v>
      </c>
      <c r="C53" s="30">
        <v>225000</v>
      </c>
      <c r="D53" s="25" t="s">
        <v>7</v>
      </c>
      <c r="E53" s="5" t="s">
        <v>100</v>
      </c>
    </row>
    <row r="54" spans="2:5" ht="15.75" customHeight="1" x14ac:dyDescent="0.25">
      <c r="B54" s="28" t="s">
        <v>101</v>
      </c>
      <c r="C54" s="30">
        <v>225000</v>
      </c>
      <c r="D54" s="25" t="s">
        <v>7</v>
      </c>
      <c r="E54" s="5" t="s">
        <v>100</v>
      </c>
    </row>
    <row r="55" spans="2:5" ht="15.75" customHeight="1" thickBot="1" x14ac:dyDescent="0.3">
      <c r="B55" s="31" t="s">
        <v>102</v>
      </c>
      <c r="C55" s="32">
        <v>225000</v>
      </c>
      <c r="D55" s="25" t="s">
        <v>7</v>
      </c>
      <c r="E55" s="5" t="s">
        <v>100</v>
      </c>
    </row>
    <row r="56" spans="2:5" ht="18" customHeight="1" x14ac:dyDescent="0.25">
      <c r="B56" s="47" t="s">
        <v>103</v>
      </c>
      <c r="C56" s="47"/>
      <c r="D56" s="47"/>
      <c r="E56" s="47"/>
    </row>
    <row r="57" spans="2:5" ht="15.75" customHeight="1" x14ac:dyDescent="0.25">
      <c r="B57" s="2" t="s">
        <v>104</v>
      </c>
      <c r="C57" s="8">
        <v>100000</v>
      </c>
      <c r="D57" s="4" t="s">
        <v>7</v>
      </c>
      <c r="E57" s="5" t="s">
        <v>105</v>
      </c>
    </row>
    <row r="58" spans="2:5" ht="15.75" customHeight="1" x14ac:dyDescent="0.25">
      <c r="B58" s="2" t="s">
        <v>106</v>
      </c>
      <c r="C58" s="8">
        <v>75000</v>
      </c>
      <c r="D58" s="4" t="s">
        <v>7</v>
      </c>
      <c r="E58" s="5" t="s">
        <v>107</v>
      </c>
    </row>
    <row r="59" spans="2:5" ht="15.75" customHeight="1" x14ac:dyDescent="0.25">
      <c r="B59" s="2" t="s">
        <v>108</v>
      </c>
      <c r="C59" s="8">
        <v>0</v>
      </c>
      <c r="D59" s="4" t="s">
        <v>7</v>
      </c>
      <c r="E59" s="5" t="s">
        <v>109</v>
      </c>
    </row>
    <row r="60" spans="2:5" ht="15.75" customHeight="1" x14ac:dyDescent="0.25">
      <c r="B60" s="2" t="s">
        <v>110</v>
      </c>
      <c r="C60" s="8">
        <v>0</v>
      </c>
      <c r="D60" s="4" t="s">
        <v>7</v>
      </c>
      <c r="E60" s="5"/>
    </row>
    <row r="61" spans="2:5" ht="15.75" customHeight="1" x14ac:dyDescent="0.25">
      <c r="B61" s="2" t="s">
        <v>111</v>
      </c>
      <c r="C61" s="8">
        <v>0</v>
      </c>
      <c r="D61" s="4" t="s">
        <v>7</v>
      </c>
      <c r="E61" s="5"/>
    </row>
    <row r="62" spans="2:5" ht="15.75" customHeight="1" x14ac:dyDescent="0.25">
      <c r="B62" s="2" t="s">
        <v>112</v>
      </c>
      <c r="C62" s="8">
        <v>0</v>
      </c>
      <c r="D62" s="4" t="s">
        <v>7</v>
      </c>
      <c r="E62" s="5"/>
    </row>
    <row r="63" spans="2:5" ht="15.75" customHeight="1" x14ac:dyDescent="0.25">
      <c r="B63" s="2" t="s">
        <v>113</v>
      </c>
      <c r="C63" s="8">
        <v>0</v>
      </c>
      <c r="D63" s="4" t="s">
        <v>7</v>
      </c>
      <c r="E63" s="5"/>
    </row>
    <row r="64" spans="2:5" ht="15.75" customHeight="1" x14ac:dyDescent="0.25">
      <c r="B64" s="2" t="s">
        <v>114</v>
      </c>
      <c r="C64" s="8">
        <v>0</v>
      </c>
      <c r="D64" s="4" t="s">
        <v>7</v>
      </c>
      <c r="E64" s="5"/>
    </row>
    <row r="65" spans="2:5" ht="15.75" customHeight="1" x14ac:dyDescent="0.25">
      <c r="B65" s="2" t="s">
        <v>115</v>
      </c>
      <c r="C65" s="8">
        <v>0</v>
      </c>
      <c r="D65" s="4" t="s">
        <v>7</v>
      </c>
      <c r="E65" s="5"/>
    </row>
    <row r="66" spans="2:5" ht="15.75" customHeight="1" x14ac:dyDescent="0.25">
      <c r="B66" s="2" t="s">
        <v>116</v>
      </c>
      <c r="C66" s="8">
        <v>0</v>
      </c>
      <c r="D66" s="4" t="s">
        <v>7</v>
      </c>
      <c r="E66" s="5"/>
    </row>
    <row r="67" spans="2:5" ht="18" customHeight="1" x14ac:dyDescent="0.25">
      <c r="B67" s="47" t="s">
        <v>117</v>
      </c>
      <c r="C67" s="47"/>
      <c r="D67" s="47"/>
      <c r="E67" s="47"/>
    </row>
    <row r="68" spans="2:5" ht="15.75" customHeight="1" x14ac:dyDescent="0.25">
      <c r="B68" s="2" t="s">
        <v>118</v>
      </c>
      <c r="C68" s="9">
        <v>5</v>
      </c>
      <c r="D68" s="4" t="s">
        <v>7</v>
      </c>
      <c r="E68" s="5" t="s">
        <v>119</v>
      </c>
    </row>
    <row r="69" spans="2:5" ht="15.75" customHeight="1" x14ac:dyDescent="0.25">
      <c r="B69" s="2" t="s">
        <v>120</v>
      </c>
      <c r="C69" s="3">
        <v>0.12</v>
      </c>
      <c r="D69" s="4" t="s">
        <v>7</v>
      </c>
      <c r="E69" s="5" t="s">
        <v>121</v>
      </c>
    </row>
    <row r="70" spans="2:5" ht="15.75" customHeight="1" x14ac:dyDescent="0.25">
      <c r="B70" s="2" t="s">
        <v>122</v>
      </c>
      <c r="C70" s="3">
        <v>0.12</v>
      </c>
      <c r="D70" s="4" t="s">
        <v>7</v>
      </c>
      <c r="E70" s="5" t="s">
        <v>123</v>
      </c>
    </row>
  </sheetData>
  <mergeCells count="9">
    <mergeCell ref="B37:E37"/>
    <mergeCell ref="B45:E45"/>
    <mergeCell ref="B56:E56"/>
    <mergeCell ref="B67:E67"/>
    <mergeCell ref="B1:E1"/>
    <mergeCell ref="B3:E3"/>
    <mergeCell ref="B10:E10"/>
    <mergeCell ref="B15:E15"/>
    <mergeCell ref="B26:E26"/>
  </mergeCells>
  <hyperlinks>
    <hyperlink ref="E4" r:id="rId1" xr:uid="{F33F6EC7-3A0A-4AA3-B05A-B28708524B7F}"/>
    <hyperlink ref="E8" r:id="rId2" xr:uid="{6AA16D48-9849-41FC-9616-AC3C250AA4C2}"/>
  </hyperlinks>
  <pageMargins left="0.75" right="0.75" top="1" bottom="1" header="0.511811023622047" footer="0.511811023622047"/>
  <pageSetup paperSize="9" orientation="portrait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51"/>
  <sheetViews>
    <sheetView showGridLines="0" zoomScale="85" zoomScaleNormal="85" workbookViewId="0">
      <pane xSplit="2" ySplit="5" topLeftCell="C20" activePane="bottomRight" state="frozen"/>
      <selection pane="topRight" activeCell="C1" sqref="C1"/>
      <selection pane="bottomLeft" activeCell="A5" sqref="A5"/>
      <selection pane="bottomRight" activeCell="B44" sqref="B44:D44"/>
    </sheetView>
  </sheetViews>
  <sheetFormatPr baseColWidth="10" defaultColWidth="8.7109375" defaultRowHeight="15" x14ac:dyDescent="0.25"/>
  <cols>
    <col min="1" max="1" width="2" customWidth="1"/>
    <col min="2" max="2" width="46" customWidth="1"/>
    <col min="3" max="12" width="14" customWidth="1"/>
    <col min="13" max="13" width="15" customWidth="1"/>
    <col min="14" max="14" width="48" customWidth="1"/>
  </cols>
  <sheetData>
    <row r="1" spans="2:14" ht="30" customHeight="1" x14ac:dyDescent="0.25">
      <c r="B1" s="45" t="s">
        <v>174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2:14" ht="13.5" customHeight="1" x14ac:dyDescent="0.25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2:14" ht="30" customHeight="1" x14ac:dyDescent="0.25">
      <c r="B3" s="10" t="s">
        <v>124</v>
      </c>
      <c r="C3" s="11" t="s">
        <v>125</v>
      </c>
      <c r="D3" s="11" t="s">
        <v>126</v>
      </c>
      <c r="E3" s="12" t="s">
        <v>127</v>
      </c>
      <c r="F3" s="12" t="s">
        <v>128</v>
      </c>
      <c r="G3" s="11" t="s">
        <v>129</v>
      </c>
      <c r="H3" s="11" t="s">
        <v>130</v>
      </c>
      <c r="I3" s="13" t="s">
        <v>130</v>
      </c>
      <c r="J3" s="13" t="s">
        <v>130</v>
      </c>
      <c r="K3" s="13" t="s">
        <v>130</v>
      </c>
      <c r="L3" s="13" t="s">
        <v>131</v>
      </c>
      <c r="M3" s="10" t="s">
        <v>132</v>
      </c>
    </row>
    <row r="4" spans="2:14" ht="30" customHeight="1" x14ac:dyDescent="0.25">
      <c r="B4" s="10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0"/>
    </row>
    <row r="5" spans="2:14" ht="18" customHeight="1" x14ac:dyDescent="0.25">
      <c r="B5" s="14" t="s">
        <v>133</v>
      </c>
      <c r="C5" s="1" t="s">
        <v>134</v>
      </c>
      <c r="D5" s="1" t="s">
        <v>135</v>
      </c>
      <c r="E5" s="1" t="s">
        <v>136</v>
      </c>
      <c r="F5" s="1" t="s">
        <v>137</v>
      </c>
      <c r="G5" s="1" t="s">
        <v>138</v>
      </c>
      <c r="H5" s="1" t="s">
        <v>139</v>
      </c>
      <c r="I5" s="1" t="s">
        <v>140</v>
      </c>
      <c r="J5" s="1" t="s">
        <v>141</v>
      </c>
      <c r="K5" s="1" t="s">
        <v>142</v>
      </c>
      <c r="L5" s="1" t="s">
        <v>143</v>
      </c>
      <c r="M5" s="1" t="s">
        <v>144</v>
      </c>
      <c r="N5" s="14"/>
    </row>
    <row r="6" spans="2:14" ht="15.75" customHeight="1" x14ac:dyDescent="0.25">
      <c r="B6" s="47" t="s">
        <v>145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</row>
    <row r="7" spans="2:14" ht="15" customHeight="1" x14ac:dyDescent="0.25">
      <c r="B7" s="15" t="s">
        <v>146</v>
      </c>
      <c r="C7" s="16">
        <f>Assumptions!C11*Assumptions!C16</f>
        <v>0</v>
      </c>
      <c r="D7" s="16">
        <f>Assumptions!C11*Assumptions!C17</f>
        <v>0</v>
      </c>
      <c r="E7" s="16">
        <f>Assumptions!C11*Assumptions!C18</f>
        <v>150000</v>
      </c>
      <c r="F7" s="16">
        <f>Assumptions!C11*Assumptions!C19</f>
        <v>350000</v>
      </c>
      <c r="G7" s="16">
        <f>Assumptions!C11*Assumptions!C20</f>
        <v>700000</v>
      </c>
      <c r="H7" s="17">
        <f>Assumptions!C11*Assumptions!C21</f>
        <v>1250000</v>
      </c>
      <c r="I7" s="17">
        <f>Assumptions!C11*Assumptions!C22</f>
        <v>2000000</v>
      </c>
      <c r="J7" s="17">
        <f>Assumptions!C11*Assumptions!C23</f>
        <v>2900000</v>
      </c>
      <c r="K7" s="17">
        <f>Assumptions!C11*Assumptions!C24</f>
        <v>3600000</v>
      </c>
      <c r="L7" s="17">
        <f>Assumptions!C11*Assumptions!C25</f>
        <v>4100000</v>
      </c>
      <c r="M7" s="18">
        <f>SUM(C6:L6)</f>
        <v>0</v>
      </c>
      <c r="N7" s="19"/>
    </row>
    <row r="8" spans="2:14" ht="15" customHeight="1" x14ac:dyDescent="0.25">
      <c r="B8" s="15" t="s">
        <v>147</v>
      </c>
      <c r="C8" s="16">
        <f>Assumptions!C13*Assumptions!C12*Assumptions!C27</f>
        <v>0</v>
      </c>
      <c r="D8" s="16">
        <f>Assumptions!C13*Assumptions!C12*Assumptions!C28</f>
        <v>0</v>
      </c>
      <c r="E8" s="16">
        <f>Assumptions!C13*Assumptions!C12*Assumptions!C29</f>
        <v>0</v>
      </c>
      <c r="F8" s="16">
        <f>Assumptions!C13*Assumptions!C12*Assumptions!C30</f>
        <v>675000</v>
      </c>
      <c r="G8" s="16">
        <f>Assumptions!C13*Assumptions!C12*Assumptions!C31</f>
        <v>2700000</v>
      </c>
      <c r="H8" s="17">
        <f>Assumptions!C13*Assumptions!C12*Assumptions!C32</f>
        <v>6300000</v>
      </c>
      <c r="I8" s="17">
        <f>Assumptions!C13*Assumptions!C12*Assumptions!C33</f>
        <v>11700000</v>
      </c>
      <c r="J8" s="17">
        <f>Assumptions!C13*Assumptions!C12*Assumptions!C34</f>
        <v>19125000</v>
      </c>
      <c r="K8" s="17">
        <f>Assumptions!C13*Assumptions!C12*Assumptions!C35</f>
        <v>27000000</v>
      </c>
      <c r="L8" s="17">
        <f>Assumptions!C13*Assumptions!C12*Assumptions!C36</f>
        <v>34875000</v>
      </c>
      <c r="M8" s="18">
        <f>SUM(C7:L7)</f>
        <v>15050000</v>
      </c>
      <c r="N8" s="19"/>
    </row>
    <row r="9" spans="2:14" ht="15" customHeight="1" x14ac:dyDescent="0.25">
      <c r="B9" s="15" t="s">
        <v>148</v>
      </c>
      <c r="C9" s="16">
        <f>Assumptions!C14*Assumptions!C16</f>
        <v>0</v>
      </c>
      <c r="D9" s="16">
        <f>MAX(0,Assumptions!C14*(Assumptions!C17-Assumptions!C16))</f>
        <v>0</v>
      </c>
      <c r="E9" s="16">
        <f>MAX(0,Assumptions!C14*(Assumptions!C18-Assumptions!C17))</f>
        <v>60000</v>
      </c>
      <c r="F9" s="16">
        <f>MAX(0,Assumptions!C14*(Assumptions!C19-Assumptions!C18))</f>
        <v>80000</v>
      </c>
      <c r="G9" s="16">
        <f>MAX(0,Assumptions!C14*(Assumptions!C20-Assumptions!C19))</f>
        <v>140000</v>
      </c>
      <c r="H9" s="17">
        <f>MAX(0,Assumptions!C14*(Assumptions!C21-Assumptions!C20))</f>
        <v>220000</v>
      </c>
      <c r="I9" s="17">
        <f>MAX(0,Assumptions!C14*(Assumptions!C22-Assumptions!C21))</f>
        <v>300000</v>
      </c>
      <c r="J9" s="17">
        <f>MAX(0,Assumptions!C14*(Assumptions!C23-Assumptions!C22))</f>
        <v>360000</v>
      </c>
      <c r="K9" s="17">
        <f>MAX(0,Assumptions!C14*(Assumptions!C24-Assumptions!C23))</f>
        <v>280000</v>
      </c>
      <c r="L9" s="17">
        <f>MAX(0,Assumptions!C14*(Assumptions!C25-Assumptions!C24))</f>
        <v>200000</v>
      </c>
      <c r="M9" s="18">
        <f>SUM(C8:L8)</f>
        <v>102375000</v>
      </c>
      <c r="N9" s="19"/>
    </row>
    <row r="10" spans="2:14" ht="15" customHeight="1" x14ac:dyDescent="0.25">
      <c r="B10" s="15" t="s">
        <v>149</v>
      </c>
      <c r="C10" s="16">
        <f>Assumptions!C57</f>
        <v>100000</v>
      </c>
      <c r="D10" s="16">
        <f>Assumptions!C58</f>
        <v>75000</v>
      </c>
      <c r="E10" s="16">
        <f>Assumptions!C59</f>
        <v>0</v>
      </c>
      <c r="F10" s="16">
        <f>Assumptions!C60</f>
        <v>0</v>
      </c>
      <c r="G10" s="16">
        <f>Assumptions!C61</f>
        <v>0</v>
      </c>
      <c r="H10" s="17">
        <f>Assumptions!C62</f>
        <v>0</v>
      </c>
      <c r="I10" s="17">
        <f>Assumptions!C63</f>
        <v>0</v>
      </c>
      <c r="J10" s="17">
        <f>Assumptions!C64</f>
        <v>0</v>
      </c>
      <c r="K10" s="17">
        <f>Assumptions!C65</f>
        <v>0</v>
      </c>
      <c r="L10" s="17">
        <f>Assumptions!C66</f>
        <v>0</v>
      </c>
      <c r="M10" s="18">
        <f>SUM(C9:L9)</f>
        <v>1640000</v>
      </c>
      <c r="N10" s="19"/>
    </row>
    <row r="11" spans="2:14" ht="15" customHeight="1" x14ac:dyDescent="0.25">
      <c r="B11" s="20" t="s">
        <v>150</v>
      </c>
      <c r="C11" s="21">
        <f t="shared" ref="C11:L11" si="0">C7+C8+C9+C10</f>
        <v>100000</v>
      </c>
      <c r="D11" s="21">
        <f t="shared" si="0"/>
        <v>75000</v>
      </c>
      <c r="E11" s="21">
        <f t="shared" si="0"/>
        <v>210000</v>
      </c>
      <c r="F11" s="21">
        <f t="shared" si="0"/>
        <v>1105000</v>
      </c>
      <c r="G11" s="21">
        <f t="shared" si="0"/>
        <v>3540000</v>
      </c>
      <c r="H11" s="22">
        <f t="shared" si="0"/>
        <v>7770000</v>
      </c>
      <c r="I11" s="22">
        <f t="shared" si="0"/>
        <v>14000000</v>
      </c>
      <c r="J11" s="22">
        <f t="shared" si="0"/>
        <v>22385000</v>
      </c>
      <c r="K11" s="22">
        <f t="shared" si="0"/>
        <v>30880000</v>
      </c>
      <c r="L11" s="22">
        <f t="shared" si="0"/>
        <v>39175000</v>
      </c>
      <c r="M11" s="18">
        <f>SUM(C10:L10)</f>
        <v>175000</v>
      </c>
      <c r="N11" s="19"/>
    </row>
    <row r="12" spans="2:14" ht="15.75" customHeight="1" x14ac:dyDescent="0.25">
      <c r="B12" s="47" t="s">
        <v>151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 spans="2:14" ht="15" customHeight="1" x14ac:dyDescent="0.25">
      <c r="B13" s="15" t="s">
        <v>152</v>
      </c>
      <c r="C13" s="16">
        <f>Assumptions!C38</f>
        <v>900000</v>
      </c>
      <c r="D13" s="16">
        <f>C13*(1+Assumptions!C39)</f>
        <v>1062000</v>
      </c>
      <c r="E13" s="16">
        <f>D13*(1+Assumptions!C39)</f>
        <v>1253160</v>
      </c>
      <c r="F13" s="16">
        <f>E13*(1+Assumptions!C39)</f>
        <v>1478728.7999999998</v>
      </c>
      <c r="G13" s="16">
        <f>F13*(1+Assumptions!C39)</f>
        <v>1744899.9839999997</v>
      </c>
      <c r="H13" s="17">
        <f>G13*(1+Assumptions!C39)</f>
        <v>2058981.9811199994</v>
      </c>
      <c r="I13" s="17">
        <f>H13*(1+Assumptions!C39)</f>
        <v>2429598.7377215992</v>
      </c>
      <c r="J13" s="17">
        <f>I13*(1+Assumptions!C39)</f>
        <v>2866926.5105114868</v>
      </c>
      <c r="K13" s="17">
        <f>J13*(1+Assumptions!C39)</f>
        <v>3382973.2824035543</v>
      </c>
      <c r="L13" s="17">
        <f>K13*(1+Assumptions!C39)</f>
        <v>3991908.4732361939</v>
      </c>
      <c r="M13" s="18">
        <f>SUM(C12:L12)</f>
        <v>0</v>
      </c>
      <c r="N13" s="19"/>
    </row>
    <row r="14" spans="2:14" ht="15" customHeight="1" x14ac:dyDescent="0.25">
      <c r="B14" s="15" t="s">
        <v>153</v>
      </c>
      <c r="C14" s="16">
        <f>Assumptions!C40</f>
        <v>200000</v>
      </c>
      <c r="D14" s="16">
        <f>Assumptions!C40*0.65</f>
        <v>130000</v>
      </c>
      <c r="E14" s="16">
        <f>Assumptions!C40*0.3</f>
        <v>60000</v>
      </c>
      <c r="F14" s="16">
        <f>Assumptions!C40*0.3*(1+Assumptions!C8*(4-3))</f>
        <v>61200</v>
      </c>
      <c r="G14" s="16">
        <f>Assumptions!C40*0.3*(1+Assumptions!C8*(5-3))</f>
        <v>62400</v>
      </c>
      <c r="H14" s="17">
        <f>Assumptions!C40*0.3*(1+Assumptions!C8*(6-3))</f>
        <v>63600</v>
      </c>
      <c r="I14" s="17">
        <f>Assumptions!C40*0.3*(1+Assumptions!C8*(7-3))</f>
        <v>64800.000000000007</v>
      </c>
      <c r="J14" s="17">
        <f>Assumptions!C40*0.3*(1+Assumptions!C8*(8-3))</f>
        <v>66000</v>
      </c>
      <c r="K14" s="17">
        <f>Assumptions!C40*0.3*(1+Assumptions!C8*(9-3))</f>
        <v>67200</v>
      </c>
      <c r="L14" s="17">
        <f>Assumptions!C40*0.3*(1+Assumptions!C8*(10-3))</f>
        <v>68400.000000000015</v>
      </c>
      <c r="M14" s="18">
        <f>SUM(C13:L13)</f>
        <v>21169177.768992834</v>
      </c>
      <c r="N14" s="19"/>
    </row>
    <row r="15" spans="2:14" ht="15" customHeight="1" x14ac:dyDescent="0.25">
      <c r="B15" s="15" t="s">
        <v>154</v>
      </c>
      <c r="C15" s="16">
        <f>Assumptions!C41</f>
        <v>150000</v>
      </c>
      <c r="D15" s="16">
        <f>C15*(1+Assumptions!C42)</f>
        <v>187500</v>
      </c>
      <c r="E15" s="16">
        <f>D15*(1+Assumptions!C42)</f>
        <v>234375</v>
      </c>
      <c r="F15" s="16">
        <f>E15*(1+Assumptions!C42)</f>
        <v>292968.75</v>
      </c>
      <c r="G15" s="16">
        <f>F15*(1+Assumptions!C42)</f>
        <v>366210.9375</v>
      </c>
      <c r="H15" s="17">
        <f>G15*(1+Assumptions!C42)</f>
        <v>457763.671875</v>
      </c>
      <c r="I15" s="17">
        <f>H15*(1+Assumptions!C42)</f>
        <v>572204.58984375</v>
      </c>
      <c r="J15" s="17">
        <f>I15*(1+Assumptions!C42)</f>
        <v>715255.7373046875</v>
      </c>
      <c r="K15" s="17">
        <f>J15*(1+Assumptions!C42)</f>
        <v>894069.67163085938</v>
      </c>
      <c r="L15" s="17">
        <f>K15*(1+Assumptions!C42)</f>
        <v>1117587.0895385742</v>
      </c>
      <c r="M15" s="18">
        <f>SUM(C14:L14)</f>
        <v>843600</v>
      </c>
      <c r="N15" s="19"/>
    </row>
    <row r="16" spans="2:14" ht="15" customHeight="1" x14ac:dyDescent="0.25">
      <c r="B16" s="20" t="s">
        <v>155</v>
      </c>
      <c r="C16" s="21">
        <f t="shared" ref="C16:L16" si="1">C13+C14+C15</f>
        <v>1250000</v>
      </c>
      <c r="D16" s="21">
        <f t="shared" si="1"/>
        <v>1379500</v>
      </c>
      <c r="E16" s="21">
        <f t="shared" si="1"/>
        <v>1547535</v>
      </c>
      <c r="F16" s="21">
        <f t="shared" si="1"/>
        <v>1832897.5499999998</v>
      </c>
      <c r="G16" s="21">
        <f t="shared" si="1"/>
        <v>2173510.9214999997</v>
      </c>
      <c r="H16" s="22">
        <f t="shared" si="1"/>
        <v>2580345.6529949997</v>
      </c>
      <c r="I16" s="22">
        <f t="shared" si="1"/>
        <v>3066603.3275653492</v>
      </c>
      <c r="J16" s="22">
        <f t="shared" si="1"/>
        <v>3648182.2478161743</v>
      </c>
      <c r="K16" s="22">
        <f t="shared" si="1"/>
        <v>4344242.9540344141</v>
      </c>
      <c r="L16" s="22">
        <f t="shared" si="1"/>
        <v>5177895.5627747681</v>
      </c>
      <c r="M16" s="18">
        <f>SUM(C15:L15)</f>
        <v>4987935.4476928711</v>
      </c>
      <c r="N16" s="19"/>
    </row>
    <row r="17" spans="2:14" ht="15.75" customHeight="1" x14ac:dyDescent="0.25">
      <c r="B17" s="47" t="s">
        <v>156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</row>
    <row r="18" spans="2:14" ht="15" customHeight="1" x14ac:dyDescent="0.25">
      <c r="B18" s="20" t="s">
        <v>157</v>
      </c>
      <c r="C18" s="21">
        <f t="shared" ref="C18:L18" si="2">C11-C16</f>
        <v>-1150000</v>
      </c>
      <c r="D18" s="21">
        <f t="shared" si="2"/>
        <v>-1304500</v>
      </c>
      <c r="E18" s="21">
        <f t="shared" si="2"/>
        <v>-1337535</v>
      </c>
      <c r="F18" s="21">
        <f t="shared" si="2"/>
        <v>-727897.54999999981</v>
      </c>
      <c r="G18" s="21">
        <f t="shared" si="2"/>
        <v>1366489.0785000003</v>
      </c>
      <c r="H18" s="22">
        <f t="shared" si="2"/>
        <v>5189654.3470050003</v>
      </c>
      <c r="I18" s="22">
        <f t="shared" si="2"/>
        <v>10933396.67243465</v>
      </c>
      <c r="J18" s="22">
        <f t="shared" si="2"/>
        <v>18736817.752183825</v>
      </c>
      <c r="K18" s="22">
        <f t="shared" si="2"/>
        <v>26535757.045965586</v>
      </c>
      <c r="L18" s="22">
        <f t="shared" si="2"/>
        <v>33997104.43722523</v>
      </c>
      <c r="M18" s="18">
        <f>SUM(C17:L17)</f>
        <v>0</v>
      </c>
      <c r="N18" s="19"/>
    </row>
    <row r="19" spans="2:14" ht="15" customHeight="1" x14ac:dyDescent="0.25">
      <c r="B19" s="15" t="s">
        <v>158</v>
      </c>
      <c r="C19" s="16">
        <f>Assumptions!C43+Assumptions!C44*(1-1)</f>
        <v>25000</v>
      </c>
      <c r="D19" s="16">
        <f>Assumptions!C43+Assumptions!C44*(2-1)</f>
        <v>50000</v>
      </c>
      <c r="E19" s="16">
        <f>Assumptions!C43+Assumptions!C44*(3-1)</f>
        <v>75000</v>
      </c>
      <c r="F19" s="16">
        <f>Assumptions!C43+Assumptions!C44*(4-1)</f>
        <v>100000</v>
      </c>
      <c r="G19" s="16">
        <f>Assumptions!C43+Assumptions!C44*(5-1)</f>
        <v>125000</v>
      </c>
      <c r="H19" s="17">
        <f>Assumptions!C43+Assumptions!C44*(6-1)</f>
        <v>150000</v>
      </c>
      <c r="I19" s="17">
        <f>Assumptions!C43+Assumptions!C44*(7-1)</f>
        <v>175000</v>
      </c>
      <c r="J19" s="17">
        <f>Assumptions!C43+Assumptions!C44*(8-1)</f>
        <v>200000</v>
      </c>
      <c r="K19" s="17">
        <f>Assumptions!C43+Assumptions!C44*(9-1)</f>
        <v>225000</v>
      </c>
      <c r="L19" s="17">
        <f>Assumptions!C43+Assumptions!C44*(10-1)</f>
        <v>250000</v>
      </c>
      <c r="N19" s="19"/>
    </row>
    <row r="20" spans="2:14" ht="15" customHeight="1" x14ac:dyDescent="0.25">
      <c r="B20" s="20" t="s">
        <v>159</v>
      </c>
      <c r="C20" s="21">
        <f t="shared" ref="C20:L20" si="3">C18-C19</f>
        <v>-1175000</v>
      </c>
      <c r="D20" s="21">
        <f t="shared" si="3"/>
        <v>-1354500</v>
      </c>
      <c r="E20" s="21">
        <f t="shared" si="3"/>
        <v>-1412535</v>
      </c>
      <c r="F20" s="21">
        <f t="shared" si="3"/>
        <v>-827897.54999999981</v>
      </c>
      <c r="G20" s="21">
        <f t="shared" si="3"/>
        <v>1241489.0785000003</v>
      </c>
      <c r="H20" s="22">
        <f t="shared" si="3"/>
        <v>5039654.3470050003</v>
      </c>
      <c r="I20" s="22">
        <f t="shared" si="3"/>
        <v>10758396.67243465</v>
      </c>
      <c r="J20" s="22">
        <f t="shared" si="3"/>
        <v>18536817.752183825</v>
      </c>
      <c r="K20" s="22">
        <f t="shared" si="3"/>
        <v>26310757.045965586</v>
      </c>
      <c r="L20" s="22">
        <f t="shared" si="3"/>
        <v>33747104.43722523</v>
      </c>
      <c r="M20" s="18">
        <f>SUM(C19:L19)</f>
        <v>1375000</v>
      </c>
      <c r="N20" s="19"/>
    </row>
    <row r="21" spans="2:14" ht="15" customHeight="1" x14ac:dyDescent="0.25">
      <c r="B21" s="15" t="s">
        <v>160</v>
      </c>
      <c r="C21" s="16">
        <f>IF(1&gt;=Assumptions!C7,MAX(0,C20)*Assumptions!C6,MAX(0,C20)*Assumptions!C5)</f>
        <v>0</v>
      </c>
      <c r="D21" s="16">
        <f>IF(2&gt;=Assumptions!C7,MAX(0,D20)*Assumptions!C6,MAX(0,D20)*Assumptions!C5)</f>
        <v>0</v>
      </c>
      <c r="E21" s="16">
        <f>IF(3&gt;=Assumptions!C7,MAX(0,E20)*Assumptions!C6,MAX(0,E20)*Assumptions!C5)</f>
        <v>0</v>
      </c>
      <c r="F21" s="16">
        <f>IF(4&gt;=Assumptions!C7,MAX(0,F20)*Assumptions!C6,MAX(0,F20)*Assumptions!C5)</f>
        <v>0</v>
      </c>
      <c r="G21" s="16">
        <f>IF(5&gt;=Assumptions!C7,MAX(0,G20)*Assumptions!C6,MAX(0,G20)*Assumptions!C5)</f>
        <v>217260.58873750005</v>
      </c>
      <c r="H21" s="17">
        <f>IF(6&gt;=Assumptions!C7,MAX(0,H20)*Assumptions!C6,MAX(0,H20)*Assumptions!C5)</f>
        <v>881939.51072587504</v>
      </c>
      <c r="I21" s="17">
        <f>IF(7&gt;=Assumptions!C7,MAX(0,I20)*Assumptions!C6,MAX(0,I20)*Assumptions!C5)</f>
        <v>1882719.4176760637</v>
      </c>
      <c r="J21" s="17">
        <f>IF(8&gt;=Assumptions!C7,MAX(0,J20)*Assumptions!C6,MAX(0,J20)*Assumptions!C5)</f>
        <v>3243943.1066321693</v>
      </c>
      <c r="K21" s="17">
        <f>IF(9&gt;=Assumptions!C7,MAX(0,K20)*Assumptions!C6,MAX(0,K20)*Assumptions!C5)</f>
        <v>4604382.4830439771</v>
      </c>
      <c r="L21" s="17">
        <f>IF(10&gt;=Assumptions!C7,MAX(0,L20)*Assumptions!C6,MAX(0,L20)*Assumptions!C5)</f>
        <v>5905743.2765144147</v>
      </c>
      <c r="M21" s="18">
        <f>SUM(C20:L20)</f>
        <v>90864286.783314288</v>
      </c>
      <c r="N21" s="19"/>
    </row>
    <row r="22" spans="2:14" ht="15" customHeight="1" x14ac:dyDescent="0.25">
      <c r="B22" s="20" t="s">
        <v>161</v>
      </c>
      <c r="C22" s="21">
        <f t="shared" ref="C22:L22" si="4">C20-C21</f>
        <v>-1175000</v>
      </c>
      <c r="D22" s="21">
        <f t="shared" si="4"/>
        <v>-1354500</v>
      </c>
      <c r="E22" s="21">
        <f t="shared" si="4"/>
        <v>-1412535</v>
      </c>
      <c r="F22" s="21">
        <f t="shared" si="4"/>
        <v>-827897.54999999981</v>
      </c>
      <c r="G22" s="21">
        <f t="shared" si="4"/>
        <v>1024228.4897625003</v>
      </c>
      <c r="H22" s="22">
        <f t="shared" si="4"/>
        <v>4157714.8362791254</v>
      </c>
      <c r="I22" s="22">
        <f t="shared" si="4"/>
        <v>8875677.2547585871</v>
      </c>
      <c r="J22" s="22">
        <f t="shared" si="4"/>
        <v>15292874.645551655</v>
      </c>
      <c r="K22" s="22">
        <f t="shared" si="4"/>
        <v>21706374.56292161</v>
      </c>
      <c r="L22" s="22">
        <f t="shared" si="4"/>
        <v>27841361.160710815</v>
      </c>
      <c r="M22" s="18">
        <f>SUM(C21:L21)</f>
        <v>16735988.383329999</v>
      </c>
      <c r="N22" s="19"/>
    </row>
    <row r="23" spans="2:14" ht="15.75" customHeight="1" x14ac:dyDescent="0.25">
      <c r="B23" s="47" t="s">
        <v>162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</row>
    <row r="24" spans="2:14" ht="15" customHeight="1" x14ac:dyDescent="0.25">
      <c r="B24" s="15" t="s">
        <v>163</v>
      </c>
      <c r="C24" s="16">
        <f t="shared" ref="C24:L24" si="5">C19</f>
        <v>25000</v>
      </c>
      <c r="D24" s="16">
        <f t="shared" si="5"/>
        <v>50000</v>
      </c>
      <c r="E24" s="16">
        <f t="shared" si="5"/>
        <v>75000</v>
      </c>
      <c r="F24" s="16">
        <f t="shared" si="5"/>
        <v>100000</v>
      </c>
      <c r="G24" s="16">
        <f t="shared" si="5"/>
        <v>125000</v>
      </c>
      <c r="H24" s="17">
        <f t="shared" si="5"/>
        <v>150000</v>
      </c>
      <c r="I24" s="17">
        <f t="shared" si="5"/>
        <v>175000</v>
      </c>
      <c r="J24" s="17">
        <f t="shared" si="5"/>
        <v>200000</v>
      </c>
      <c r="K24" s="17">
        <f t="shared" si="5"/>
        <v>225000</v>
      </c>
      <c r="L24" s="17">
        <f t="shared" si="5"/>
        <v>250000</v>
      </c>
      <c r="N24" s="19"/>
    </row>
    <row r="25" spans="2:14" ht="15" customHeight="1" x14ac:dyDescent="0.25">
      <c r="B25" s="15" t="s">
        <v>164</v>
      </c>
      <c r="C25" s="16">
        <f>-Assumptions!C46</f>
        <v>-250000</v>
      </c>
      <c r="D25" s="16">
        <f>-Assumptions!C47</f>
        <v>-1100000</v>
      </c>
      <c r="E25" s="16">
        <f>-Assumptions!C48</f>
        <v>-350000</v>
      </c>
      <c r="F25" s="16">
        <f>-Assumptions!C49</f>
        <v>-150000</v>
      </c>
      <c r="G25" s="16">
        <f>-Assumptions!C50</f>
        <v>-175000</v>
      </c>
      <c r="H25" s="17">
        <f>-Assumptions!C51</f>
        <v>-200000</v>
      </c>
      <c r="I25" s="17">
        <f>-Assumptions!C52</f>
        <v>-225000</v>
      </c>
      <c r="J25" s="17">
        <f>-Assumptions!C53</f>
        <v>-225000</v>
      </c>
      <c r="K25" s="17">
        <f>-Assumptions!C54</f>
        <v>-225000</v>
      </c>
      <c r="L25" s="17">
        <f>-Assumptions!C55</f>
        <v>-225000</v>
      </c>
      <c r="M25" s="18">
        <f>SUM(C24:L24)</f>
        <v>1375000</v>
      </c>
      <c r="N25" s="19"/>
    </row>
    <row r="26" spans="2:14" ht="15" customHeight="1" x14ac:dyDescent="0.25">
      <c r="B26" s="15" t="s">
        <v>165</v>
      </c>
      <c r="C26" s="16">
        <f>-Assumptions!C69*C11</f>
        <v>-12000</v>
      </c>
      <c r="D26" s="16">
        <f>-Assumptions!C69*MAX(0,D11-C11)</f>
        <v>0</v>
      </c>
      <c r="E26" s="16">
        <f>-Assumptions!C69*MAX(0,E11-D11)</f>
        <v>-16200</v>
      </c>
      <c r="F26" s="16">
        <f>-Assumptions!C69*MAX(0,F11-E11)</f>
        <v>-107400</v>
      </c>
      <c r="G26" s="16">
        <f>-Assumptions!C69*MAX(0,G11-F11)</f>
        <v>-292200</v>
      </c>
      <c r="H26" s="17">
        <f>-Assumptions!C69*MAX(0,H11-G11)</f>
        <v>-507600</v>
      </c>
      <c r="I26" s="17">
        <f>-Assumptions!C69*MAX(0,I11-H11)</f>
        <v>-747600</v>
      </c>
      <c r="J26" s="17">
        <f>-Assumptions!C69*MAX(0,J11-I11)</f>
        <v>-1006200</v>
      </c>
      <c r="K26" s="17">
        <f>-Assumptions!C69*MAX(0,K11-J11)</f>
        <v>-1019400</v>
      </c>
      <c r="L26" s="17">
        <f>-Assumptions!C69*MAX(0,L11-K11)</f>
        <v>-995400</v>
      </c>
      <c r="M26" s="18">
        <f>SUM(C25:L25)</f>
        <v>-3125000</v>
      </c>
      <c r="N26" s="19"/>
    </row>
    <row r="27" spans="2:14" ht="15" customHeight="1" x14ac:dyDescent="0.25">
      <c r="B27" s="20" t="s">
        <v>166</v>
      </c>
      <c r="C27" s="21">
        <f t="shared" ref="C27:L27" si="6">C22+C24+C25+C26</f>
        <v>-1412000</v>
      </c>
      <c r="D27" s="21">
        <f t="shared" si="6"/>
        <v>-2404500</v>
      </c>
      <c r="E27" s="21">
        <f t="shared" si="6"/>
        <v>-1703735</v>
      </c>
      <c r="F27" s="21">
        <f t="shared" si="6"/>
        <v>-985297.54999999981</v>
      </c>
      <c r="G27" s="21">
        <f t="shared" si="6"/>
        <v>682028.48976250039</v>
      </c>
      <c r="H27" s="22">
        <f t="shared" si="6"/>
        <v>3600114.8362791259</v>
      </c>
      <c r="I27" s="22">
        <f t="shared" si="6"/>
        <v>8078077.2547585871</v>
      </c>
      <c r="J27" s="22">
        <f t="shared" si="6"/>
        <v>14261674.645551655</v>
      </c>
      <c r="K27" s="22">
        <f t="shared" si="6"/>
        <v>20686974.56292161</v>
      </c>
      <c r="L27" s="22">
        <f t="shared" si="6"/>
        <v>26870961.160710815</v>
      </c>
      <c r="M27" s="18">
        <f>SUM(C26:L26)</f>
        <v>-4704000</v>
      </c>
      <c r="N27" s="19"/>
    </row>
    <row r="28" spans="2:14" ht="15" customHeight="1" x14ac:dyDescent="0.25">
      <c r="B28" s="15" t="s">
        <v>167</v>
      </c>
      <c r="C28" s="16">
        <f>C27</f>
        <v>-1412000</v>
      </c>
      <c r="D28" s="16">
        <f t="shared" ref="D28:L28" si="7">C28+D27</f>
        <v>-3816500</v>
      </c>
      <c r="E28" s="16">
        <f t="shared" si="7"/>
        <v>-5520235</v>
      </c>
      <c r="F28" s="16">
        <f t="shared" si="7"/>
        <v>-6505532.5499999998</v>
      </c>
      <c r="G28" s="16">
        <f t="shared" si="7"/>
        <v>-5823504.060237499</v>
      </c>
      <c r="H28" s="17">
        <f t="shared" si="7"/>
        <v>-2223389.2239583731</v>
      </c>
      <c r="I28" s="17">
        <f t="shared" si="7"/>
        <v>5854688.030800214</v>
      </c>
      <c r="J28" s="17">
        <f t="shared" si="7"/>
        <v>20116362.676351868</v>
      </c>
      <c r="K28" s="17">
        <f t="shared" si="7"/>
        <v>40803337.239273474</v>
      </c>
      <c r="L28" s="17">
        <f t="shared" si="7"/>
        <v>67674298.399984285</v>
      </c>
      <c r="N28" s="19"/>
    </row>
    <row r="29" spans="2:14" ht="15" customHeight="1" x14ac:dyDescent="0.25">
      <c r="B29" s="15" t="s">
        <v>184</v>
      </c>
      <c r="C29" s="16">
        <f>C27/(1+Assumptions!$C$4)^C4</f>
        <v>-1295294.0097238785</v>
      </c>
      <c r="D29" s="16">
        <f>D27/(1+Assumptions!$C$4)^D4</f>
        <v>-2023448.2518698843</v>
      </c>
      <c r="E29" s="16">
        <f>E27/(1+Assumptions!$C$4)^E4</f>
        <v>-1315233.9971822386</v>
      </c>
      <c r="F29" s="16">
        <f>F27/(1+Assumptions!$C$4)^F4</f>
        <v>-697753.53323903121</v>
      </c>
      <c r="G29" s="16">
        <f>G27/(1+Assumptions!$C$4)^G4</f>
        <v>443068.44214604876</v>
      </c>
      <c r="H29" s="16">
        <f>H27/(1+Assumptions!$C$4)^H4</f>
        <v>2145449.5975560765</v>
      </c>
      <c r="I29" s="16">
        <f>I27/(1+Assumptions!$C$4)^I4</f>
        <v>4416148.0517750764</v>
      </c>
      <c r="J29" s="16">
        <f>J27/(1+Assumptions!$C$4)^J4</f>
        <v>7152202.5873947861</v>
      </c>
      <c r="K29" s="16">
        <f>K27/(1+Assumptions!$C$4)^K4</f>
        <v>9516996.8078443445</v>
      </c>
      <c r="L29" s="16">
        <f>L27/(1+Assumptions!$C$4)^L4</f>
        <v>11340176.258318188</v>
      </c>
      <c r="N29" s="44"/>
    </row>
    <row r="30" spans="2:14" ht="15" customHeight="1" x14ac:dyDescent="0.25">
      <c r="B30" s="20" t="s">
        <v>183</v>
      </c>
      <c r="C30" s="21">
        <f t="shared" ref="C30:K30" si="8">C27</f>
        <v>-1412000</v>
      </c>
      <c r="D30" s="21">
        <f t="shared" si="8"/>
        <v>-2404500</v>
      </c>
      <c r="E30" s="21">
        <f t="shared" si="8"/>
        <v>-1703735</v>
      </c>
      <c r="F30" s="21">
        <f t="shared" si="8"/>
        <v>-985297.54999999981</v>
      </c>
      <c r="G30" s="21">
        <f t="shared" si="8"/>
        <v>682028.48976250039</v>
      </c>
      <c r="H30" s="21">
        <f t="shared" si="8"/>
        <v>3600114.8362791259</v>
      </c>
      <c r="I30" s="21">
        <f t="shared" si="8"/>
        <v>8078077.2547585871</v>
      </c>
      <c r="J30" s="21">
        <f t="shared" si="8"/>
        <v>14261674.645551655</v>
      </c>
      <c r="K30" s="21">
        <f t="shared" si="8"/>
        <v>20686974.56292161</v>
      </c>
      <c r="L30" s="21">
        <f>L27+M47</f>
        <v>417860695.59616065</v>
      </c>
      <c r="N30" s="44"/>
    </row>
    <row r="31" spans="2:14" ht="7.5" customHeight="1" x14ac:dyDescent="0.25"/>
    <row r="32" spans="2:14" ht="19.5" customHeight="1" x14ac:dyDescent="0.25">
      <c r="B32" s="48" t="s">
        <v>188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2:15" ht="16.5" customHeight="1" x14ac:dyDescent="0.25">
      <c r="B33" s="49" t="s">
        <v>168</v>
      </c>
      <c r="C33" s="49"/>
      <c r="D33" s="49"/>
      <c r="E33" s="50">
        <f>M50</f>
        <v>165158289.2108095</v>
      </c>
      <c r="F33" s="50"/>
      <c r="G33" s="50"/>
      <c r="H33" s="51"/>
      <c r="I33" s="51"/>
      <c r="J33" s="51"/>
      <c r="K33" s="51"/>
      <c r="L33" s="51"/>
      <c r="M33" s="51"/>
      <c r="N33" s="51"/>
    </row>
    <row r="34" spans="2:15" ht="16.5" customHeight="1" x14ac:dyDescent="0.25">
      <c r="B34" s="52" t="s">
        <v>169</v>
      </c>
      <c r="C34" s="52"/>
      <c r="D34" s="52"/>
      <c r="E34" s="53">
        <f>NPV(Assumptions!C4,C30:L30)</f>
        <v>194689156.22526699</v>
      </c>
      <c r="F34" s="60"/>
      <c r="G34" s="61"/>
      <c r="H34" s="62" t="s">
        <v>186</v>
      </c>
      <c r="I34" s="63"/>
      <c r="J34" s="64"/>
    </row>
    <row r="35" spans="2:15" ht="16.5" customHeight="1" x14ac:dyDescent="0.25">
      <c r="B35" s="52" t="s">
        <v>170</v>
      </c>
      <c r="C35" s="52"/>
      <c r="D35" s="52"/>
      <c r="E35" s="54">
        <f>IRR(C30:L30)</f>
        <v>0.76826186306451016</v>
      </c>
      <c r="F35" s="55"/>
      <c r="G35" s="56"/>
      <c r="H35" s="54">
        <f>IRR(C30:K30)</f>
        <v>0.41756094041959568</v>
      </c>
      <c r="I35" s="55"/>
      <c r="J35" s="65"/>
    </row>
    <row r="36" spans="2:15" ht="16.5" customHeight="1" x14ac:dyDescent="0.25">
      <c r="B36" s="52" t="s">
        <v>171</v>
      </c>
      <c r="C36" s="52"/>
      <c r="D36" s="52"/>
      <c r="E36" s="57" t="s">
        <v>185</v>
      </c>
      <c r="F36" s="57"/>
      <c r="G36" s="57"/>
    </row>
    <row r="37" spans="2:15" ht="16.5" customHeight="1" x14ac:dyDescent="0.25">
      <c r="B37" s="52" t="s">
        <v>172</v>
      </c>
      <c r="C37" s="52"/>
      <c r="D37" s="52"/>
      <c r="E37" s="54">
        <f>Assumptions!C4</f>
        <v>9.01E-2</v>
      </c>
      <c r="F37" s="54"/>
      <c r="G37" s="54"/>
    </row>
    <row r="38" spans="2:15" ht="16.5" customHeight="1" x14ac:dyDescent="0.25">
      <c r="B38" s="52" t="s">
        <v>173</v>
      </c>
      <c r="C38" s="52"/>
      <c r="D38" s="52"/>
      <c r="E38" s="53">
        <f>MIN(C28,D28,E28,F28,G28)</f>
        <v>-6505532.5499999998</v>
      </c>
      <c r="F38" s="53"/>
      <c r="G38" s="53"/>
    </row>
    <row r="39" spans="2:15" ht="16.5" customHeight="1" x14ac:dyDescent="0.25"/>
    <row r="40" spans="2:15" ht="16.5" customHeight="1" x14ac:dyDescent="0.25"/>
    <row r="41" spans="2:15" ht="16.5" customHeight="1" x14ac:dyDescent="0.25"/>
    <row r="44" spans="2:15" ht="15.75" thickBot="1" x14ac:dyDescent="0.3">
      <c r="B44" s="52" t="s">
        <v>169</v>
      </c>
      <c r="C44" s="52"/>
      <c r="D44" s="52"/>
      <c r="E44" s="50">
        <f>NPV(Assumptions!C4,C30:L30)</f>
        <v>194689156.22526699</v>
      </c>
      <c r="F44" s="50"/>
      <c r="G44" s="50"/>
    </row>
    <row r="45" spans="2:15" x14ac:dyDescent="0.25">
      <c r="M45" s="34" t="s">
        <v>187</v>
      </c>
      <c r="N45" s="35"/>
      <c r="O45" s="36"/>
    </row>
    <row r="46" spans="2:15" x14ac:dyDescent="0.25">
      <c r="M46" s="37">
        <f>L27*(1+2%)</f>
        <v>27408380.383925032</v>
      </c>
      <c r="N46" t="s">
        <v>177</v>
      </c>
      <c r="O46" s="38"/>
    </row>
    <row r="47" spans="2:15" x14ac:dyDescent="0.25">
      <c r="M47" s="37">
        <f>M46/(Assumptions!C4-2%)</f>
        <v>390989734.43544984</v>
      </c>
      <c r="N47" t="s">
        <v>178</v>
      </c>
      <c r="O47" s="38"/>
    </row>
    <row r="48" spans="2:15" x14ac:dyDescent="0.25">
      <c r="M48" s="37"/>
      <c r="N48" t="s">
        <v>179</v>
      </c>
      <c r="O48" s="38"/>
    </row>
    <row r="49" spans="13:15" x14ac:dyDescent="0.25">
      <c r="M49" s="39"/>
      <c r="O49" s="38"/>
    </row>
    <row r="50" spans="13:15" ht="15.75" thickBot="1" x14ac:dyDescent="0.3">
      <c r="M50" s="40">
        <f>M47/(1+9%)^(10)</f>
        <v>165158289.2108095</v>
      </c>
      <c r="N50" s="41" t="s">
        <v>180</v>
      </c>
      <c r="O50" s="42"/>
    </row>
    <row r="51" spans="13:15" x14ac:dyDescent="0.25">
      <c r="M51" s="43" t="s">
        <v>182</v>
      </c>
    </row>
  </sheetData>
  <mergeCells count="24">
    <mergeCell ref="E44:G44"/>
    <mergeCell ref="B38:D38"/>
    <mergeCell ref="E38:G38"/>
    <mergeCell ref="B44:D44"/>
    <mergeCell ref="B36:D36"/>
    <mergeCell ref="E36:G36"/>
    <mergeCell ref="B37:D37"/>
    <mergeCell ref="E37:G37"/>
    <mergeCell ref="B34:D34"/>
    <mergeCell ref="E34:G34"/>
    <mergeCell ref="B35:D35"/>
    <mergeCell ref="E35:G35"/>
    <mergeCell ref="H35:J35"/>
    <mergeCell ref="H34:J34"/>
    <mergeCell ref="B23:N23"/>
    <mergeCell ref="B32:N32"/>
    <mergeCell ref="B33:D33"/>
    <mergeCell ref="E33:G33"/>
    <mergeCell ref="H33:N33"/>
    <mergeCell ref="B1:N1"/>
    <mergeCell ref="B2:N2"/>
    <mergeCell ref="B6:N6"/>
    <mergeCell ref="B12:N12"/>
    <mergeCell ref="B17:N1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Assumptions</vt:lpstr>
      <vt:lpstr>FCF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Felipe Gutierrez Apraez</cp:lastModifiedBy>
  <cp:revision>0</cp:revision>
  <dcterms:created xsi:type="dcterms:W3CDTF">2026-03-13T05:25:52Z</dcterms:created>
  <dcterms:modified xsi:type="dcterms:W3CDTF">2026-03-24T05:37:14Z</dcterms:modified>
  <dc:language>en-US</dc:language>
</cp:coreProperties>
</file>